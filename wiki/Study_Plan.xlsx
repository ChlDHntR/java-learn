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nh.hoangtien\Documents\code\dev\excelWork\output\"/>
    </mc:Choice>
  </mc:AlternateContent>
  <xr:revisionPtr revIDLastSave="0" documentId="13_ncr:1_{7880D68E-C67E-4F3C-8E9A-89339C59B420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Tổng quan" sheetId="1" r:id="rId1"/>
    <sheet name="Kế hoạch chi tiết" sheetId="2" r:id="rId2"/>
    <sheet name="Nhật ký học" sheetId="3" r:id="rId3"/>
    <sheet name="Bài thi thử" sheetId="4" r:id="rId4"/>
    <sheet name="Tổng kết tuần" sheetId="5" r:id="rId5"/>
    <sheet name="Tài nguyê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c09SAUHb+XXPamyVjfjCBl8COJ1yS3ru9x3oN6fOfNQ="/>
    </ext>
  </extLst>
</workbook>
</file>

<file path=xl/calcChain.xml><?xml version="1.0" encoding="utf-8"?>
<calcChain xmlns="http://schemas.openxmlformats.org/spreadsheetml/2006/main">
  <c r="H16" i="5" l="1"/>
  <c r="C16" i="5"/>
  <c r="B16" i="5"/>
  <c r="D16" i="5" s="1"/>
  <c r="E16" i="5" s="1"/>
  <c r="H15" i="5"/>
  <c r="C15" i="5"/>
  <c r="B15" i="5"/>
  <c r="D15" i="5" s="1"/>
  <c r="E15" i="5" s="1"/>
  <c r="H14" i="5"/>
  <c r="C14" i="5"/>
  <c r="D14" i="5" s="1"/>
  <c r="E14" i="5" s="1"/>
  <c r="B14" i="5"/>
  <c r="H13" i="5"/>
  <c r="C13" i="5"/>
  <c r="B13" i="5"/>
  <c r="D13" i="5" s="1"/>
  <c r="E13" i="5" s="1"/>
  <c r="H12" i="5"/>
  <c r="C12" i="5"/>
  <c r="B12" i="5"/>
  <c r="H11" i="5"/>
  <c r="C11" i="5"/>
  <c r="B11" i="5"/>
  <c r="H10" i="5"/>
  <c r="C10" i="5"/>
  <c r="B10" i="5"/>
  <c r="H9" i="5"/>
  <c r="C9" i="5"/>
  <c r="B9" i="5"/>
  <c r="D9" i="5" s="1"/>
  <c r="E9" i="5" s="1"/>
  <c r="H8" i="5"/>
  <c r="C8" i="5"/>
  <c r="B8" i="5"/>
  <c r="H7" i="5"/>
  <c r="C7" i="5"/>
  <c r="B7" i="5"/>
  <c r="D7" i="5" s="1"/>
  <c r="E7" i="5" s="1"/>
  <c r="H6" i="5"/>
  <c r="C6" i="5"/>
  <c r="D6" i="5" s="1"/>
  <c r="E6" i="5" s="1"/>
  <c r="B6" i="5"/>
  <c r="H5" i="5"/>
  <c r="H18" i="5" s="1"/>
  <c r="C5" i="5"/>
  <c r="B5" i="5"/>
  <c r="E10" i="4"/>
  <c r="E9" i="4"/>
  <c r="E8" i="4"/>
  <c r="E7" i="4"/>
  <c r="E6" i="4"/>
  <c r="E5" i="4"/>
  <c r="I87" i="3"/>
  <c r="J87" i="3" s="1"/>
  <c r="I86" i="3"/>
  <c r="J86" i="3" s="1"/>
  <c r="I85" i="3"/>
  <c r="J85" i="3" s="1"/>
  <c r="I84" i="3"/>
  <c r="J84" i="3" s="1"/>
  <c r="I83" i="3"/>
  <c r="J83" i="3" s="1"/>
  <c r="I82" i="3"/>
  <c r="J82" i="3" s="1"/>
  <c r="I81" i="3"/>
  <c r="J81" i="3" s="1"/>
  <c r="I80" i="3"/>
  <c r="J80" i="3" s="1"/>
  <c r="I79" i="3"/>
  <c r="J79" i="3" s="1"/>
  <c r="I78" i="3"/>
  <c r="J78" i="3" s="1"/>
  <c r="I77" i="3"/>
  <c r="J77" i="3" s="1"/>
  <c r="I76" i="3"/>
  <c r="J76" i="3" s="1"/>
  <c r="I75" i="3"/>
  <c r="J75" i="3" s="1"/>
  <c r="I74" i="3"/>
  <c r="J74" i="3" s="1"/>
  <c r="I73" i="3"/>
  <c r="J73" i="3" s="1"/>
  <c r="I72" i="3"/>
  <c r="J72" i="3" s="1"/>
  <c r="I71" i="3"/>
  <c r="J71" i="3" s="1"/>
  <c r="I70" i="3"/>
  <c r="J70" i="3" s="1"/>
  <c r="I69" i="3"/>
  <c r="J69" i="3" s="1"/>
  <c r="I68" i="3"/>
  <c r="J68" i="3" s="1"/>
  <c r="I67" i="3"/>
  <c r="J67" i="3" s="1"/>
  <c r="I66" i="3"/>
  <c r="J66" i="3" s="1"/>
  <c r="I65" i="3"/>
  <c r="J65" i="3" s="1"/>
  <c r="I64" i="3"/>
  <c r="J64" i="3" s="1"/>
  <c r="I63" i="3"/>
  <c r="J63" i="3" s="1"/>
  <c r="I62" i="3"/>
  <c r="J62" i="3" s="1"/>
  <c r="I61" i="3"/>
  <c r="J61" i="3" s="1"/>
  <c r="I60" i="3"/>
  <c r="J60" i="3" s="1"/>
  <c r="I59" i="3"/>
  <c r="J59" i="3" s="1"/>
  <c r="I58" i="3"/>
  <c r="J58" i="3" s="1"/>
  <c r="I57" i="3"/>
  <c r="J57" i="3" s="1"/>
  <c r="I56" i="3"/>
  <c r="J56" i="3" s="1"/>
  <c r="I55" i="3"/>
  <c r="J55" i="3" s="1"/>
  <c r="I54" i="3"/>
  <c r="J54" i="3" s="1"/>
  <c r="I53" i="3"/>
  <c r="F12" i="5" s="1"/>
  <c r="G12" i="5" s="1"/>
  <c r="I52" i="3"/>
  <c r="J52" i="3" s="1"/>
  <c r="I51" i="3"/>
  <c r="J51" i="3" s="1"/>
  <c r="I50" i="3"/>
  <c r="J50" i="3" s="1"/>
  <c r="I49" i="3"/>
  <c r="J49" i="3" s="1"/>
  <c r="I48" i="3"/>
  <c r="J48" i="3" s="1"/>
  <c r="I47" i="3"/>
  <c r="J47" i="3" s="1"/>
  <c r="I46" i="3"/>
  <c r="J46" i="3" s="1"/>
  <c r="I45" i="3"/>
  <c r="J45" i="3" s="1"/>
  <c r="I44" i="3"/>
  <c r="J44" i="3" s="1"/>
  <c r="I43" i="3"/>
  <c r="J43" i="3" s="1"/>
  <c r="I42" i="3"/>
  <c r="J42" i="3" s="1"/>
  <c r="I41" i="3"/>
  <c r="J41" i="3" s="1"/>
  <c r="I40" i="3"/>
  <c r="J40" i="3" s="1"/>
  <c r="I39" i="3"/>
  <c r="J39" i="3" s="1"/>
  <c r="I38" i="3"/>
  <c r="J38" i="3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I25" i="3"/>
  <c r="F8" i="5" s="1"/>
  <c r="G8" i="5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F5" i="5"/>
  <c r="C18" i="5" l="1"/>
  <c r="D5" i="5"/>
  <c r="E5" i="5" s="1"/>
  <c r="D10" i="5"/>
  <c r="E10" i="5" s="1"/>
  <c r="D11" i="5"/>
  <c r="E11" i="5" s="1"/>
  <c r="D8" i="5"/>
  <c r="E8" i="5" s="1"/>
  <c r="D12" i="5"/>
  <c r="E12" i="5" s="1"/>
  <c r="B18" i="5"/>
  <c r="G5" i="5"/>
  <c r="F7" i="5"/>
  <c r="G7" i="5" s="1"/>
  <c r="F14" i="5"/>
  <c r="G14" i="5" s="1"/>
  <c r="F9" i="5"/>
  <c r="G9" i="5" s="1"/>
  <c r="F16" i="5"/>
  <c r="G16" i="5" s="1"/>
  <c r="F11" i="5"/>
  <c r="G11" i="5" s="1"/>
  <c r="F13" i="5"/>
  <c r="G13" i="5" s="1"/>
  <c r="J25" i="3"/>
  <c r="F6" i="5"/>
  <c r="G6" i="5" s="1"/>
  <c r="F15" i="5"/>
  <c r="G15" i="5" s="1"/>
  <c r="D18" i="5"/>
  <c r="E18" i="5" s="1"/>
  <c r="F10" i="5"/>
  <c r="G10" i="5" s="1"/>
  <c r="J53" i="3"/>
  <c r="F18" i="5" l="1"/>
</calcChain>
</file>

<file path=xl/sharedStrings.xml><?xml version="1.0" encoding="utf-8"?>
<sst xmlns="http://schemas.openxmlformats.org/spreadsheetml/2006/main" count="872" uniqueCount="616">
  <si>
    <t>Kế Hoạch 12 Tuần — Tổng Quan</t>
  </si>
  <si>
    <t>Thời lượng</t>
  </si>
  <si>
    <t>12 tuần (84 ngày)</t>
  </si>
  <si>
    <t>Bắt đầu</t>
  </si>
  <si>
    <t>06/07/2026 (Thứ 2)</t>
  </si>
  <si>
    <t>Kết thúc / Ngày thi AWS</t>
  </si>
  <si>
    <t>27/09/2026 (Chủ nhật)</t>
  </si>
  <si>
    <t>Thời gian học hàng ngày</t>
  </si>
  <si>
    <t>~130 phút/ngày</t>
  </si>
  <si>
    <t>Tổng ngân sách học</t>
  </si>
  <si>
    <t>~182 giờ</t>
  </si>
  <si>
    <t>Tỷ lệ AWS : Java</t>
  </si>
  <si>
    <t>Ưu tiên AWS (~60:40) - vì thi cert</t>
  </si>
  <si>
    <t>Kế hoạch theo tuần</t>
  </si>
  <si>
    <t>Tuần</t>
  </si>
  <si>
    <t>Ngày</t>
  </si>
  <si>
    <t>Chủ đề AWS</t>
  </si>
  <si>
    <t>Chủ đề Java / JVM</t>
  </si>
  <si>
    <t>Deliverable của tuần</t>
  </si>
  <si>
    <t>Milestone</t>
  </si>
  <si>
    <t>07/07 – 12/07</t>
  </si>
  <si>
    <t>EC2 SAA + Storage (EBS/EFS)</t>
  </si>
  <si>
    <t>—</t>
  </si>
  <si>
    <t>13/07 – 19/07</t>
  </si>
  <si>
    <t>ELB + ASG + RDS/Aurora</t>
  </si>
  <si>
    <t>20/07 – 26/07</t>
  </si>
  <si>
    <t>ElastiCache + Route 53 + S3 basics</t>
  </si>
  <si>
    <t>27/07 – 02/08</t>
  </si>
  <si>
    <t>S3 nâng cao + CloudFront + SQS/SNS</t>
  </si>
  <si>
    <t>03/08 – 09/08</t>
  </si>
  <si>
    <t>Kinesis + ECS/EKS + Lambda basics</t>
  </si>
  <si>
    <t>10/08 – 16/08</t>
  </si>
  <si>
    <t>DynamoDB + API GW + Serverless arch</t>
  </si>
  <si>
    <t>17/08 – 23/08</t>
  </si>
  <si>
    <t>CloudWatch + IAM Advanced + Practice #1</t>
  </si>
  <si>
    <t>AWS Practice #1</t>
  </si>
  <si>
    <t>24/08 – 30/08</t>
  </si>
  <si>
    <t>KMS + Security + Practice #2</t>
  </si>
  <si>
    <t>AWS Practice #2</t>
  </si>
  <si>
    <t>31/08 – 06/09</t>
  </si>
  <si>
    <t>VPC + Networking + Practice #3</t>
  </si>
  <si>
    <t>AWS Practice #3</t>
  </si>
  <si>
    <t>07/09 – 13/09</t>
  </si>
  <si>
    <t>DR + Sol.Arch + Practice #4, #5</t>
  </si>
  <si>
    <t>AWS Practice #4 + #5</t>
  </si>
  <si>
    <t>14/09 – 20/09</t>
  </si>
  <si>
    <t>Ôn AWS + Practice #6</t>
  </si>
  <si>
    <t>AWS Practice #6</t>
  </si>
  <si>
    <t>21/09 – 27/09</t>
  </si>
  <si>
    <t>Tuần thi AWS SAA</t>
  </si>
  <si>
    <t>🎯 Đậu AWS SAA</t>
  </si>
  <si>
    <t>🎯 Ngày thi AWS SAA</t>
  </si>
  <si>
    <t>Các giai đoạn</t>
  </si>
  <si>
    <t>Workflow hàng ngày</t>
  </si>
  <si>
    <t>70-100 phút</t>
  </si>
  <si>
    <t>Nạp khái niệm + spaced repetition. Không code/ Hands-on</t>
  </si>
  <si>
    <t>30-60 phút</t>
  </si>
  <si>
    <t>Review kiến thức + Code + Hands-on, AI review + tạo quiz</t>
  </si>
  <si>
    <t>Nguyên tắc</t>
  </si>
  <si>
    <t>AI làm reviewer + quiz partner</t>
  </si>
  <si>
    <t>Bài tập java tìm trên Leetcode</t>
  </si>
  <si>
    <t>Spring Boot</t>
  </si>
  <si>
    <t>Kế Hoạch Chi Tiết Hàng Ngày — AWS SAA + Java Core + JVM</t>
  </si>
  <si>
    <t>Ngày #</t>
  </si>
  <si>
    <t>Thứ</t>
  </si>
  <si>
    <t>AWS - learn</t>
  </si>
  <si>
    <t xml:space="preserve">AWS - Hands on
</t>
  </si>
  <si>
    <t>Java - learn</t>
  </si>
  <si>
    <t>Java - Hands on</t>
  </si>
  <si>
    <t>Hoàn thành?</t>
  </si>
  <si>
    <t>T3</t>
  </si>
  <si>
    <t>S6: Elastic Network Interfaces (ENI) + EC2 Hibernate</t>
  </si>
  <si>
    <t>Thực hành: attach/detach ENI trong console</t>
  </si>
  <si>
    <t>Chưa</t>
  </si>
  <si>
    <t>T4</t>
  </si>
  <si>
    <t>S6 Quiz + S7: EBS Overview</t>
  </si>
  <si>
    <t>Làm quiz Section 6; ghi lại câu sai</t>
  </si>
  <si>
    <t>T5</t>
  </si>
  <si>
    <t>S7: EBS Snapshots + AMI Overview</t>
  </si>
  <si>
    <t>Thực hành: tạo snapshot, copy sang region khác</t>
  </si>
  <si>
    <t>T6</t>
  </si>
  <si>
    <t>S7: EC2 Instance Store + EBS Volume Types</t>
  </si>
  <si>
    <t>So sánh gp2/gp3/io1/io2/st1/sc1 trong bảng</t>
  </si>
  <si>
    <t>T7</t>
  </si>
  <si>
    <t>S7: EBS Multi-Attach + EBS Encryption</t>
  </si>
  <si>
    <t>Bật encryption trên snapshot copy</t>
  </si>
  <si>
    <t>CN</t>
  </si>
  <si>
    <t>Ôn Tuần 1</t>
  </si>
  <si>
    <t>Flashcards volume types + làm lại quizzes S6/S7</t>
  </si>
  <si>
    <t>T2</t>
  </si>
  <si>
    <t>S7: Amazon EFS + EFS vs EBS</t>
  </si>
  <si>
    <t>Lab: tạo EFS, mount trên 2 EC2</t>
  </si>
  <si>
    <t>S7: Storage Cleanup + Quiz</t>
  </si>
  <si>
    <t>Xoá tài nguyên; làm quiz</t>
  </si>
  <si>
    <t>S8: ELB Overview + ALB Intro</t>
  </si>
  <si>
    <t>Đọc slides về ALB routing patterns</t>
  </si>
  <si>
    <t>S8: ALB Hands-on 1+2</t>
  </si>
  <si>
    <t>Lab đầy đủ: 2 EC2 + target group + path routing</t>
  </si>
  <si>
    <t>S8: Network LB + Gateway LB</t>
  </si>
  <si>
    <t>Lab: tạo NLB với TCP health check</t>
  </si>
  <si>
    <t>S8: Sticky Sessions + Cross-Zone + SSL/TLS</t>
  </si>
  <si>
    <t>So sánh ALB/NLB trong bảng</t>
  </si>
  <si>
    <t>Ôn Tuần 2</t>
  </si>
  <si>
    <t>Flashcards ALB/NLB/GWLB</t>
  </si>
  <si>
    <t>S8 Quiz + ASG Overview + Hands-on</t>
  </si>
  <si>
    <t>Quiz; Lab: ASG + target tracking CPU</t>
  </si>
  <si>
    <t>S9: RDS Overview + Read Replicas vs Multi-AZ</t>
  </si>
  <si>
    <t>Tạo MySQL RDS free tier</t>
  </si>
  <si>
    <t>S9: Aurora + Hands-on</t>
  </si>
  <si>
    <t>Provision Aurora; explore endpoints</t>
  </si>
  <si>
    <t>S9: Aurora Advanced + Backup + Security</t>
  </si>
  <si>
    <t>Global Aurora + point-in-time recovery</t>
  </si>
  <si>
    <t>S9: RDS Proxy + ElastiCache Overview</t>
  </si>
  <si>
    <t>Đọc slides</t>
  </si>
  <si>
    <t>S9: ElastiCache Hands-on + S9 Quiz</t>
  </si>
  <si>
    <t>Tạo Redis cluster; làm quiz</t>
  </si>
  <si>
    <t>Ôn Tuần 3</t>
  </si>
  <si>
    <t>Flashcards RDS/Aurora/ElastiCache</t>
  </si>
  <si>
    <t>S10: Route 53 Registering + Records + TTL</t>
  </si>
  <si>
    <t>Đăng ký domain test HOẶC dùng existing</t>
  </si>
  <si>
    <t>S10: CNAME vs Alias + Routing Policies (3 loại chính)</t>
  </si>
  <si>
    <t>Set up latency-based routing 2 regions</t>
  </si>
  <si>
    <t>S10: Health Checks + Failover + Geolocation</t>
  </si>
  <si>
    <t>Config health check trên EC2 endpoint</t>
  </si>
  <si>
    <t>S10: IP-based + Multi-Value + 3rd Party Domains</t>
  </si>
  <si>
    <t>Ôn Route 53 quiz</t>
  </si>
  <si>
    <t>S11: Classic Solution Architecture Discussions</t>
  </si>
  <si>
    <t>Xem tất cả video discussion; vẽ từng arch</t>
  </si>
  <si>
    <t>S12: S3 Overview + Buckets + Objects</t>
  </si>
  <si>
    <t>Tạo bucket; upload; bật versioning</t>
  </si>
  <si>
    <t>Ôn Tuần 4</t>
  </si>
  <si>
    <t>Flashcards S3 basics + Route 53</t>
  </si>
  <si>
    <t>S12: S3 Security + Bucket Policies + Static Website</t>
  </si>
  <si>
    <t>Host static site; config bucket policy</t>
  </si>
  <si>
    <t>S12: S3 Versioning + Replication + Storage Classes</t>
  </si>
  <si>
    <t>Bật CRR sang region khác</t>
  </si>
  <si>
    <t>S12: S3 Lifecycle + Analytics + Event Notifications</t>
  </si>
  <si>
    <t>Lifecycle rule → Glacier sau 30 ngày</t>
  </si>
  <si>
    <t>S12: S3 Performance + Batch + Encryption (SSE-S3, KMS, C)</t>
  </si>
  <si>
    <t>Bật SSE-KMS trên bucket</t>
  </si>
  <si>
    <t>S12: S3 CORS + MFA Delete + Access Points + Object Lambda</t>
  </si>
  <si>
    <t>Config CORS trên bucket</t>
  </si>
  <si>
    <t>S13: CloudFront + Origins + Caching + Signed URLs</t>
  </si>
  <si>
    <t>Tạo CF distribution trước S3 bucket</t>
  </si>
  <si>
    <t>Ôn Tuần 5</t>
  </si>
  <si>
    <t>Flashcards CloudFront + S3 advanced</t>
  </si>
  <si>
    <t>S13: CloudFront Advanced + Global Accelerator</t>
  </si>
  <si>
    <t>So sánh CF vs GA trong bảng</t>
  </si>
  <si>
    <t>S14: Storage Extras (Snowball, FSx, Storage Gateway)</t>
  </si>
  <si>
    <t>Tóm tắt mỗi service 1 dòng</t>
  </si>
  <si>
    <t>S15: SQS Standard + FIFO + Delay + Visibility Timeout</t>
  </si>
  <si>
    <t>Tạo SQS queue; send/receive với CLI</t>
  </si>
  <si>
    <t>S15: SNS + SQS Fanout + Kinesis + Amazon MQ</t>
  </si>
  <si>
    <t>Set up SNS→SQS fanout</t>
  </si>
  <si>
    <t>S15 Quiz + S16: ECS + Fargate + ECR</t>
  </si>
  <si>
    <t>Deploy task đơn giản lên ECS Fargate</t>
  </si>
  <si>
    <t>S16: ECS Rolling Updates + EKS + App Runner</t>
  </si>
  <si>
    <t>So sánh ECS vs EKS</t>
  </si>
  <si>
    <t>Ôn Tuần 6</t>
  </si>
  <si>
    <t>Flashcards containers + messaging</t>
  </si>
  <si>
    <t>S17: Lambda Overview + Limits + Pricing</t>
  </si>
  <si>
    <t>Deploy hello-world Lambda từ console</t>
  </si>
  <si>
    <t>S17: Lambda in VPC + Layers + Container Image</t>
  </si>
  <si>
    <t>Deploy Lambda trigger bởi S3 upload</t>
  </si>
  <si>
    <t>S17: DynamoDB + DAX + Streams + Global Tables</t>
  </si>
  <si>
    <t>Tạo DynamoDB table</t>
  </si>
  <si>
    <t>S17: API Gateway + Cognito + SAM + Step Functions</t>
  </si>
  <si>
    <t>Deploy REST API qua API Gateway + Lambda</t>
  </si>
  <si>
    <t>S18: Serverless Architecture Discussions</t>
  </si>
  <si>
    <t>Xem discussions; vẽ từng architecture</t>
  </si>
  <si>
    <t>🎯 AWS SAA PRACTICE EXAM #1 (65Q, 130ph)</t>
  </si>
  <si>
    <t>TutorialsDojo. Log score + weak areas.</t>
  </si>
  <si>
    <t>Ôn Tuần 7 + phân tích Exam #1</t>
  </si>
  <si>
    <t>Phân loại câu sai theo topic</t>
  </si>
  <si>
    <t>S19: Databases in AWS + S20: Athena, Redshift</t>
  </si>
  <si>
    <t>Ghi chú khi nào dùng mỗi loại</t>
  </si>
  <si>
    <t>S20: EMR + Glue + Kinesis Analytics + QuickSight</t>
  </si>
  <si>
    <t>Đọc + flashcards</t>
  </si>
  <si>
    <t>S22: CloudWatch Metrics + Alarms + Logs + Insights</t>
  </si>
  <si>
    <t>Set alarm trên EC2 CPU</t>
  </si>
  <si>
    <t>S22: CloudTrail + EventBridge + AWS Config</t>
  </si>
  <si>
    <t>Bật CloudTrail; tạo EventBridge rule</t>
  </si>
  <si>
    <t>S23: IAM Advanced - STS + Identity Federation</t>
  </si>
  <si>
    <t>Vẽ cross-account access với STS</t>
  </si>
  <si>
    <t>🎯 AWS SAA PRACTICE EXAM #2 (65Q, 130ph)</t>
  </si>
  <si>
    <t>Log score + weak areas</t>
  </si>
  <si>
    <t>Ôn Tuần 8 + phân tích Exam #2</t>
  </si>
  <si>
    <t>So sánh weak areas với Exam #1</t>
  </si>
  <si>
    <t>S24: KMS + SSM Parameter Store + Secrets Manager</t>
  </si>
  <si>
    <t>Tạo KMS key; encrypt/decrypt với CLI</t>
  </si>
  <si>
    <t>S24: CloudHSM + Shield + WAF + GuardDuty + Inspector + Macie</t>
  </si>
  <si>
    <t>Bảng security services + khi nào dùng</t>
  </si>
  <si>
    <t>S25: VPC Overview + Subnets + IGW + Route Tables</t>
  </si>
  <si>
    <t>Vẽ 3-tier VPC trên giấy</t>
  </si>
  <si>
    <t>S25: NAT Gateway/Instance + NACL vs Security Groups</t>
  </si>
  <si>
    <t>Build VPC với public + private subnets</t>
  </si>
  <si>
    <t>S25: VPC Peering + Endpoints (Gateway + Interface)</t>
  </si>
  <si>
    <t>Tạo VPC endpoint cho S3</t>
  </si>
  <si>
    <t>🎯 AWS SAA PRACTICE EXAM #3 (65Q, 130ph)</t>
  </si>
  <si>
    <t>Log score</t>
  </si>
  <si>
    <t>Ôn Tuần 9</t>
  </si>
  <si>
    <t>VPC diagrams + Exam #3 analysis</t>
  </si>
  <si>
    <t>S25: VPN + Direct Connect + Transit Gateway + PrivateLink</t>
  </si>
  <si>
    <t>So sánh mọi connectivity options</t>
  </si>
  <si>
    <t>S25: VPC Flow Logs + Networking Costs + Quiz</t>
  </si>
  <si>
    <t>Làm VPC quiz</t>
  </si>
  <si>
    <t>S26: DR Strategies (Backup, Pilot Light, Warm Standby, Multi-Site)</t>
  </si>
  <si>
    <t>Vẽ từng strategy với RTO/RPO</t>
  </si>
  <si>
    <t>S26: AWS Backup + DMS + App Migration + VMware on AWS</t>
  </si>
  <si>
    <t>Bảng migration services</t>
  </si>
  <si>
    <t>Tự làm: dùng jstack tìm thread bị block. AI: 'đọc dump này'</t>
  </si>
  <si>
    <t>S27: Advanced Solution Architectures</t>
  </si>
  <si>
    <t>Xem all; vẽ từng arch</t>
  </si>
  <si>
    <t>🎯 AWS SAA PRACTICE EXAM #4 (65Q, 130ph)</t>
  </si>
  <si>
    <t>🎯 AWS SAA PRACTICE EXAM #5 (65Q, 130ph)</t>
  </si>
  <si>
    <t>Log score. Target 80%+.</t>
  </si>
  <si>
    <t>Tự làm: 'checklist chuẩn đoán JVM khi app chậm'. AI: 'thiếu bước nào?'</t>
  </si>
  <si>
    <t>Ôn cuối: IAM, EC2, ELB, ASG, EBS/EFS, S3</t>
  </si>
  <si>
    <t>Làm lại quizzes sections 4-12</t>
  </si>
  <si>
    <t>Ôn cuối: RDS, Aurora, DynamoDB, Route 53, CloudFront</t>
  </si>
  <si>
    <t>Làm lại quizzes 9, 10, 13</t>
  </si>
  <si>
    <t>Ôn cuối: SQS/SNS/Kinesis + Lambda + API GW + Containers</t>
  </si>
  <si>
    <t>Làm lại quizzes 15-17</t>
  </si>
  <si>
    <t>Ôn cuối: VPC + Security + CloudWatch + DR</t>
  </si>
  <si>
    <t>Làm lại quizzes 22, 24, 25, 26</t>
  </si>
  <si>
    <t>🎯 AWS SAA PRACTICE EXAM #6 (retake weakest)</t>
  </si>
  <si>
    <t>Target 85%+</t>
  </si>
  <si>
    <t>Ôn tổng hợp AWS: TutorialsDojo cheat sheets</t>
  </si>
  <si>
    <t>Focus 3 topics yếu nhất</t>
  </si>
  <si>
    <t>Ôn Tuần 11: quyết định lịch thi</t>
  </si>
  <si>
    <t>Nếu ≥80% consistent → đặt lịch thi tuần sau</t>
  </si>
  <si>
    <t>Ôn nhẹ: skim TutorialsDojo cheat sheets</t>
  </si>
  <si>
    <t>Tối đa 60 phút. Không học topic mới.</t>
  </si>
  <si>
    <t>Ôn nhẹ: làm lại quizzes yếu nhất</t>
  </si>
  <si>
    <t>Vẽ VPC + S3 tiers từ memory</t>
  </si>
  <si>
    <t>Ôn nhẹ: reinforcement only</t>
  </si>
  <si>
    <t>Không nạp material mới</t>
  </si>
  <si>
    <t>Ôn nhẹ + có thể full mock nếu muốn</t>
  </si>
  <si>
    <t>Tuỳ thể trạng — không burnout</t>
  </si>
  <si>
    <t>Đêm trước thi: skim + đi ngủ sớm</t>
  </si>
  <si>
    <t>Sáng thi: warm-up quiz 20-30 câu dễ</t>
  </si>
  <si>
    <t>🎯 NGÀY THI AWS SAA-C03 🎯</t>
  </si>
  <si>
    <t>Nhật Ký Học — Số phút hàng ngày</t>
  </si>
  <si>
    <t>Nhập số phút mỗi ngày. Mục tiêu: 130 phút/ngày. Tổng và % tự tính.</t>
  </si>
  <si>
    <t>AWS Learn (ph)</t>
  </si>
  <si>
    <t>AWS Hands on (ph)</t>
  </si>
  <si>
    <t>Java Learn (ph)</t>
  </si>
  <si>
    <t>Java Hands on (ph)</t>
  </si>
  <si>
    <t>Tổng (ph)</t>
  </si>
  <si>
    <t>% mục tiêu</t>
  </si>
  <si>
    <t>Nhật Ký Bài Thi Thử AWS SAA</t>
  </si>
  <si>
    <t>Ghi điểm sau mỗi bài TutorialsDojo. Chỉ đặt lịch thi thật khi liên tục ≥80%.</t>
  </si>
  <si>
    <t>Bài thi</t>
  </si>
  <si>
    <t>Điểm %</t>
  </si>
  <si>
    <t>Mục tiêu %</t>
  </si>
  <si>
    <t>Đậu?</t>
  </si>
  <si>
    <t>3 chủ đề yếu nhất</t>
  </si>
  <si>
    <t>Kế hoạch khắc phục</t>
  </si>
  <si>
    <t>Practice #1 (Tuần 7)</t>
  </si>
  <si>
    <t>Practice #2 (Tuần 8)</t>
  </si>
  <si>
    <t>Practice #3 (Tuần 9)</t>
  </si>
  <si>
    <t>Practice #4 (Tuần 10)</t>
  </si>
  <si>
    <t>Practice #5 (Tuần 10)</t>
  </si>
  <si>
    <t>Practice #6 (Tuần 11 - retake yếu nhất)</t>
  </si>
  <si>
    <t>Tổng Kết Tuần</t>
  </si>
  <si>
    <t>Tự động tính từ Nhật ký học + Kế hoạch chi tiết.</t>
  </si>
  <si>
    <t>Tuần #</t>
  </si>
  <si>
    <t>AWS phút</t>
  </si>
  <si>
    <t>Java phút</t>
  </si>
  <si>
    <t>Tổng phút</t>
  </si>
  <si>
    <t>Tổng giờ</t>
  </si>
  <si>
    <t>Số ngày học</t>
  </si>
  <si>
    <t>TB phút/ngày</t>
  </si>
  <si>
    <t>Task xong</t>
  </si>
  <si>
    <t>TỔNG</t>
  </si>
  <si>
    <t>Tài Nguyên &amp; Tham Khảo</t>
  </si>
  <si>
    <t>AWS SAA</t>
  </si>
  <si>
    <t>Stephane Maarek Ultimate AWS SAA (Udemy)</t>
  </si>
  <si>
    <t>https://www.udemy.com/course/aws-certified-solutions-architect-associate-saa-c03/</t>
  </si>
  <si>
    <t>Khoá chính - tiếp tục từ Section 6</t>
  </si>
  <si>
    <t>TutorialsDojo Practice Exams</t>
  </si>
  <si>
    <t>https://portal.tutorialsdojo.com/</t>
  </si>
  <si>
    <t>Jon Bonso - tiêu chuẩn vàng cho practice</t>
  </si>
  <si>
    <t>AWS Free Tier</t>
  </si>
  <si>
    <t>https://aws.amazon.com/free/</t>
  </si>
  <si>
    <t>Cho hands-on labs</t>
  </si>
  <si>
    <t>Java Core (skill building)</t>
  </si>
  <si>
    <t>Effective Java (Joshua Bloch, 3rd ed)</t>
  </si>
  <si>
    <t>https://www.amazon.com/dp/0134685997</t>
  </si>
  <si>
    <t>Sách Java giá trị nhất. Đọc 3-5 items/tuần.</t>
  </si>
  <si>
    <t>Modern Java in Action (Urma/Fusco/Mycroft)</t>
  </si>
  <si>
    <t>https://www.manning.com/books/modern-java-in-action</t>
  </si>
  <si>
    <t>Cho streams, lambdas, functional style</t>
  </si>
  <si>
    <t>Java Concurrency in Practice (Goetz)</t>
  </si>
  <si>
    <t>https://www.amazon.com/dp/0321349601</t>
  </si>
  <si>
    <t>Kinh thánh concurrency. Dùng AI unpack chỗ khó.</t>
  </si>
  <si>
    <t>Java 21 API docs (chính thức)</t>
  </si>
  <si>
    <t>https://docs.oracle.com/en/java/javase/21/docs/api/</t>
  </si>
  <si>
    <t>Verify mọi điều AI nói về APIs</t>
  </si>
  <si>
    <t>JVM Internals (chuyên sâu)</t>
  </si>
  <si>
    <t>Java Performance (Scott Oaks, 2nd ed)</t>
  </si>
  <si>
    <t>https://www.oreilly.com/library/view/java-performance-2nd/9781492056102/</t>
  </si>
  <si>
    <t>Sách JVM tuning tốt nhất hiện nay</t>
  </si>
  <si>
    <t>The Java Virtual Machine Spec (JVMS)</t>
  </si>
  <si>
    <t>https://docs.oracle.com/javase/specs/jvms/se21/html/</t>
  </si>
  <si>
    <t>Spec chính thức - bytecode + class loading</t>
  </si>
  <si>
    <t>Inside Java podcast (JEP updates, GC)</t>
  </si>
  <si>
    <t>https://inside.java/podcast/</t>
  </si>
  <si>
    <t>Cập nhật JVM/GC mới nhất</t>
  </si>
  <si>
    <t>async-profiler</t>
  </si>
  <si>
    <t>https://github.com/async-profiler/async-profiler</t>
  </si>
  <si>
    <t>Profiler tốt nhất, flame graphs</t>
  </si>
  <si>
    <t>Eclipse Memory Analyzer (MAT)</t>
  </si>
  <si>
    <t>https://eclipse.dev/mat/</t>
  </si>
  <si>
    <t>Phân tích heap dump - tìm memory leaks</t>
  </si>
  <si>
    <t>JITWatch (Chris Newland)</t>
  </si>
  <si>
    <t>https://github.com/AdoptOpenJDK/jitwatch</t>
  </si>
  <si>
    <t>Xem JIT compilation chi tiết</t>
  </si>
  <si>
    <t>Spring Boot (chỉ tuần 12 - intro nhẹ)</t>
  </si>
  <si>
    <t>Baeldung Spring Boot tutorials</t>
  </si>
  <si>
    <t>https://www.baeldung.com/spring-boot</t>
  </si>
  <si>
    <t>Tutorial Spring miễn phí tốt nhất</t>
  </si>
  <si>
    <t>Spring Boot official docs</t>
  </si>
  <si>
    <t>https://docs.spring.io/spring-boot/</t>
  </si>
  <si>
    <t>Reference chính khi cần sau này</t>
  </si>
  <si>
    <t>Ghi chú</t>
  </si>
  <si>
    <t>CHỈ intro nhẹ tuần 12. Học sâu chỉ nếu công ty confirm dùng Spring.</t>
  </si>
  <si>
    <t>AI methodology (dùng các prompt này)</t>
  </si>
  <si>
    <t>Tự làm rồi review</t>
  </si>
  <si>
    <t>'Đây là code của tôi cho X. Review như senior dev. Tìm bugs + EJ violations.'</t>
  </si>
  <si>
    <t>Sinh bài tập</t>
  </si>
  <si>
    <t>'Cho tôi 5 bài về [topic], khó dần, KHÔNG show solution.'</t>
  </si>
  <si>
    <t>Quiz tôi</t>
  </si>
  <si>
    <t>'Quiz tôi về [topic] trong 10 phút. 1 câu 1 lúc. Nói tôi sai chỗ nào.'</t>
  </si>
  <si>
    <t>Giải thích rồi verify</t>
  </si>
  <si>
    <t>'Giải thích X vs Y. Tôi verify bằng docs. Cite Java version + doc section.'</t>
  </si>
  <si>
    <t>Debug cùng</t>
  </si>
  <si>
    <t>'Đây là error + code. ĐỪNG fix. Hỏi câu hỏi để tôi tự tìm bug.'</t>
  </si>
  <si>
    <t>JVM - đọc log/dump</t>
  </si>
  <si>
    <t>'Đây là GC log/heap dump. Giải thích từng phần. Sau đó quiz tôi.'</t>
  </si>
  <si>
    <t>5 nguyên tắc vàng khi học với AI</t>
  </si>
  <si>
    <t>Quy tắc 15 phút</t>
  </si>
  <si>
    <t>Tự vật lộn tối thiểu 15 phút trước khi hỏi AI</t>
  </si>
  <si>
    <t>Viết code trước, AI review sau</t>
  </si>
  <si>
    <t>Bạn viết code. AI review. Không bao giờ ngược lại.</t>
  </si>
  <si>
    <t>Verify các claim cụ thể</t>
  </si>
  <si>
    <t>Bất kỳ claim về API/version/behavior → check docs chính thức</t>
  </si>
  <si>
    <t>Kết thúc bằng recall</t>
  </si>
  <si>
    <t>10 phút cuối mỗi session: AI quiz bạn về hôm nay</t>
  </si>
  <si>
    <t>Đọc Effective Java mỗi ngày</t>
  </si>
  <si>
    <t>1-2 items/ngày → đầu tư dài hạn tốt nhất</t>
  </si>
  <si>
    <t>AWS SAA + Java Wizard track: concurrency sâu → JVM internals → bytecode/JIT/profiling/FFM. ~130 phút/ngày.</t>
  </si>
  <si>
    <t>Java-for-JS: type system + Generics (wildcards/PECS) + Collections internals + Exceptions</t>
  </si>
  <si>
    <t>Mini-lib generic + toy HashMap (equals/hashCode chuẩn)</t>
  </si>
  <si>
    <t>Streams/Lambdas/Optional + Modern Java (records, sealed, patterns, NIO.2) + build tooling</t>
  </si>
  <si>
    <t>Data pipeline: streams + records + sealed Result&lt;T,E&gt;</t>
  </si>
  <si>
    <t>Concurrency I: threads, JMM + happens-before, synchronized/volatile, deadlock</t>
  </si>
  <si>
    <t>Reproduce &amp; fix 5 concurrency bug (race/visibility/deadlock)</t>
  </si>
  <si>
    <t>Concurrency II: Executors, CompletableFuture, concurrent collections + atomics</t>
  </si>
  <si>
    <t>Async pipeline (CompletableFuture) xử lý partial failure</t>
  </si>
  <si>
    <t>Concurrency III (magic): AQS, lock-free/CAS, VarHandles + fences, false sharing, virtual threads</t>
  </si>
  <si>
    <t>Lock-free Treiber stack + StampedLock cache, stress-tested</t>
  </si>
  <si>
    <t>Concurrency capstone (lock-free)</t>
  </si>
  <si>
    <t>JVM Memory Model: heap regions, object layout (JOL), reference types, OOM forensics</t>
  </si>
  <si>
    <t>Đọc heap dump (MAT) tìm leak + JOL object-layout report</t>
  </si>
  <si>
    <t>Garbage Collection sâu: generational, G1, ZGC/Shenandoah, GC log, tuning</t>
  </si>
  <si>
    <t>Benchmark G1 vs ZGC + GC decision tree</t>
  </si>
  <si>
    <t>Bytecode &amp; instrumentation: javap, invoke*, ASM/ByteBuddy, Java agents</t>
  </si>
  <si>
    <t>Java agent rewrite method lúc load (ByteBuddy)</t>
  </si>
  <si>
    <t>JIT sâu: tiered C1/C2, inlining, escape analysis, deopt, JITWatch, đọc assembly</t>
  </si>
  <si>
    <t>Micro-benchmark chứng minh inlining/escape analysis</t>
  </si>
  <si>
    <t>Profiling &amp; benchmarking: JMH đúng chuẩn, JFR/JMC, async-profiler, MAT, tuning</t>
  </si>
  <si>
    <t>JMH suite + flame-graph tuning 1 app thật</t>
  </si>
  <si>
    <t>Frontier magic: MethodHandles/invokedynamic, FFM (Panama), off-heap/Unsafe; Effective Java</t>
  </si>
  <si>
    <t>Mini-APM 'magic': bytecode timing + JFR + FFM</t>
  </si>
  <si>
    <t>Tuần thi AWS SAA — Java nhẹ (đọc JEP/cheat sheet)</t>
  </si>
  <si>
    <t>Tuần 1-2</t>
  </si>
  <si>
    <t>Java core nén (nhờ nền JS): type system, generics, collections, streams, modern Java, build tooling</t>
  </si>
  <si>
    <t>Tuần 3-5</t>
  </si>
  <si>
    <t>Concurrency từ nền tảng đến lock-free: JMM → CompletableFuture → AQS/VarHandles/virtual threads</t>
  </si>
  <si>
    <t>Tuần 6-7</t>
  </si>
  <si>
    <t>JVM Memory + Garbage Collection sâu: heap dump/MAT, G1/ZGC, tuning</t>
  </si>
  <si>
    <t>Tuần 8-11</t>
  </si>
  <si>
    <t>'Magic': bytecode/agents, JIT, profiling/JMH, FFM/MethodHandles — Tuần 12 thi AWS</t>
  </si>
  <si>
    <t>Tự làm: tạo Maven project, add 1 dependency (Guava), chạy Main. AI: 'so sánh mental model type Java vs JS'</t>
  </si>
  <si>
    <t>Generics I: type params, bounded types (&lt;T extends Comparable&gt;)</t>
  </si>
  <si>
    <t>Tự làm: viết Box&lt;T&gt;, Pair&lt;K,V&gt;, generic max(). AI: 'type erasure sẽ cắn tôi ở đâu?'</t>
  </si>
  <si>
    <t>Generics II: wildcards, PECS (? extends / ? super)</t>
  </si>
  <si>
    <t>Tự làm: generic copy(dest ? super T, src ? extends T). AI: quiz me producer vs consumer</t>
  </si>
  <si>
    <t>Collections + internals: ArrayList vs LinkedList, HashMap buckets/treeification</t>
  </si>
  <si>
    <t>Tự làm: benchmark 100k inserts đầu/giữa/cuối; implement toy HashMap&lt;K,V&gt;. AI: 'khác gì JDK?'</t>
  </si>
  <si>
    <t>equals/hashCode/immutability (EJ 10,11,17) + Comparable/Comparator</t>
  </si>
  <si>
    <t>Tự làm: value class equals/hashCode chuẩn + sort 3 fields. AI: 'break contract ở đâu?'</t>
  </si>
  <si>
    <t>Ôn Tuần 1 + Exceptions (checked vs unchecked, try-with-resources, EJ 70-77)</t>
  </si>
  <si>
    <t>Tự làm: in-memory user DB nhỏ với exception hierarchy riêng. AI: full review</t>
  </si>
  <si>
    <t>Lambdas + method references + functional interfaces (Function/Predicate/Consumer/Supplier)</t>
  </si>
  <si>
    <t>Tự làm: convert 10 anonymous class → lambda; andThen/compose. AI: 'chỗ nào ambiguous?'</t>
  </si>
  <si>
    <t>Stream API I: map/filter/collect/reduce; lazy vs eager</t>
  </si>
  <si>
    <t>Tự làm: convert 5 for-loop sang stream. AI: 'chỗ nào stream hurt readability?'</t>
  </si>
  <si>
    <t>Stream API II: groupingBy/partitioningBy/downstream collectors + Optional đúng cách</t>
  </si>
  <si>
    <t>Tự làm: sales report (group by region+product) + refactor 5 null-check. AI: 'lạm dụng Optional chỗ nào?'</t>
  </si>
  <si>
    <t>Records + sealed classes + pattern matching (switch, record patterns)</t>
  </si>
  <si>
    <t>Tự làm: model Result&lt;Success,Error&gt; bằng sealed + switch exhaustive. AI: quiz me exhaustiveness</t>
  </si>
  <si>
    <t>NIO.2 (Path/Files/Files.lines) + text blocks + var</t>
  </si>
  <si>
    <t>Tự làm: log/CSV reader bằng NIO.2 streams. AI: 'tìm resource leak'</t>
  </si>
  <si>
    <t>Build &amp; packaging: Maven vs Gradle, dependency scopes, runnable (fat) JAR</t>
  </si>
  <si>
    <t>Tự làm: đóng gói project thành JAR chạy được + 1 plugin. AI: 'lifecycle Maven gồm gì?'</t>
  </si>
  <si>
    <t>Ôn Tuần 2 (core nén xong)</t>
  </si>
  <si>
    <t>Tự làm: rewrite user DB Tuần 1 dùng streams + records + Optional. AI: full review</t>
  </si>
  <si>
    <t>Threads vs Runnable; lifecycle (start/sleep/join/interrupt)</t>
  </si>
  <si>
    <t>Tự làm: chạy 3 thread in 1-10 (2 cách). AI: 'vì sao tách task khỏi thread tốt hơn?'</t>
  </si>
  <si>
    <t>Java Memory Model + happens-before rules</t>
  </si>
  <si>
    <t>Tự làm: giải thích 5 happens-before với code ví dụ. AI: quiz me edge cases</t>
  </si>
  <si>
    <t>synchronized + volatile + visibility; atomicity vs visibility</t>
  </si>
  <si>
    <t>Tự làm: reproduce race; fix bằng volatile → synchronized. AI: 'khi nào từng cái KHÔNG đủ?'</t>
  </si>
  <si>
    <t>Visibility &amp; reordering sâu; double-checked locking đúng/sai</t>
  </si>
  <si>
    <t>Tự làm: viết visibility bug rồi fix; viết DCL sai rồi sửa. AI: 'JMM guarantee nào áp dụng?'</t>
  </si>
  <si>
    <t>Deadlock/livelock/starvation; lock ordering; wait/notify</t>
  </si>
  <si>
    <t>Tự làm: tạo deadlock rồi fix bằng lock ordering. AI: review</t>
  </si>
  <si>
    <t>wait/notify → bounded buffer; giới thiệu BlockingQueue</t>
  </si>
  <si>
    <t>Tự làm: implement bounded buffer bằng wait/notify. AI: 'so sánh ArrayBlockingQueue'</t>
  </si>
  <si>
    <t>Ôn Tuần 3 (concurrency nền tảng)</t>
  </si>
  <si>
    <t>Tự làm: predict output 5 thread-coordination scenarios rồi verify. AI: giải thích chỗ sai</t>
  </si>
  <si>
    <t>ExecutorService + thread pools (Fixed/Cached/Scheduled); shutdown đúng</t>
  </si>
  <si>
    <t>Tự làm: refactor thread Tuần 3 sang FixedThreadPool. AI: 'khi nào CachedThreadPool nguy hiểm?'</t>
  </si>
  <si>
    <t>Callable + Future + get(timeout) + cancellation</t>
  </si>
  <si>
    <t>Tự làm: parallel sum list lớn bằng Futures + timeout. AI: review error/cancel handling</t>
  </si>
  <si>
    <t>CompletableFuture: supplyAsync/thenApply/thenCompose/thenCombine</t>
  </si>
  <si>
    <t>Tự làm: async pipeline fetch→transform→aggregate. AI: 'exception handling đủ chưa?'</t>
  </si>
  <si>
    <t>CompletableFuture nâng cao: exceptionally/handle/allOf/anyOf; custom executor</t>
  </si>
  <si>
    <t>Tự làm: gọi 3 API song song, xử lý partial failure. AI: review</t>
  </si>
  <si>
    <t>Concurrent collections + atomics (ConcurrentHashMap, CopyOnWrite, Atomic*, LongAdder)</t>
  </si>
  <si>
    <t>Tự làm: counter thread-safe 3 cách; benchmark. AI: 'tradeoff từng cách?'</t>
  </si>
  <si>
    <t>ThreadPoolExecutor internals: core/max/queue/rejection; worker-pool pattern</t>
  </si>
  <si>
    <t>Tự làm: tune 1 pool cho bursty load; quan sát rejection. AI: 'cấu hình fail khi nào?'</t>
  </si>
  <si>
    <t>Tự làm: parallel file processor (nhiều file, aggregate CompletableFuture). AI: full review</t>
  </si>
  <si>
    <t>AbstractQueuedSynchronizer (AQS): ReentrantLock/Semaphore/Latch xây thế nào</t>
  </si>
  <si>
    <t>Tự làm: đọc source AQS; build 1 latch trên AQS. AI: 'state &amp; CAS hoạt động ra sao?'</t>
  </si>
  <si>
    <t>Locks sâu: ReentrantLock vs synchronized, fairness, Condition; ReadWriteLock; StampedLock optimistic</t>
  </si>
  <si>
    <t>Tự làm: convert cache synchronized → StampedLock optimistic read. AI: 'khi nào optimistic thua?'</t>
  </si>
  <si>
    <t>Lock-free &amp; CAS: AtomicInteger bên trong; compareAndSet; ABA problem; Treiber stack</t>
  </si>
  <si>
    <t>Tự làm: implement lock-free stack (Treiber); stress test. AI: 'ABA cắn ở đâu?'</t>
  </si>
  <si>
    <t>VarHandles + memory fences (acquire/release/opaque/fullFence)</t>
  </si>
  <si>
    <t>Tự làm: thay 1 Atomic bằng VarHandle; suy luận fence cần thiết. AI: verify ordering</t>
  </si>
  <si>
    <t>False sharing + cache lines + @Contended; khi nào concurrency phản tác dụng</t>
  </si>
  <si>
    <t>Tự làm: benchmark false sharing rồi fix bằng padding. AI: interpret kết quả</t>
  </si>
  <si>
    <t>Virtual threads + structured concurrency (Loom, Java 21); scoped values</t>
  </si>
  <si>
    <t>Tự làm: rewrite task Executor bằng virtual threads; so sánh throughput. AI: 'khi nào KHÔNG dùng?'</t>
  </si>
  <si>
    <t>Ôn Tuần 5 (concurrency capstone)</t>
  </si>
  <si>
    <t>Tự làm: build rate limiter hoặc work-stealing pool nhỏ. AI: full review + 3 anti-patterns</t>
  </si>
  <si>
    <t>Runtime data areas: stack vs heap vs metaspace, PC register, native stack</t>
  </si>
  <si>
    <t>Tự làm: vẽ memory layout 1 chương trình. AI: 'chỗ nào tôi sai?'</t>
  </si>
  <si>
    <t>Heap regions: Young (Eden/Survivor), Old, Metaspace; promotion &amp; aging</t>
  </si>
  <si>
    <t>Tự làm: vẽ regions + giải thích object di chuyển. AI: quiz me</t>
  </si>
  <si>
    <t>Object layout: header/mark word, compressed oops, alignment; công cụ JOL</t>
  </si>
  <si>
    <t>Tự làm: dùng JOL in size object; đo padding. AI: 'vì sao 12 byte thành 16?'</t>
  </si>
  <si>
    <t>Reference types: Strong/Soft/Weak/Phantom + ReferenceQueue</t>
  </si>
  <si>
    <t>Tự làm: cache bằng WeakReference/SoftReference. AI: 'khi nào WeakReference tệ?'</t>
  </si>
  <si>
    <t>OutOfMemoryError các loại (Heap, Metaspace, GC overhead, Direct buffer)</t>
  </si>
  <si>
    <t>Tự làm: viết code gây mỗi loại OOM. AI: 'phân biệt qua log ra sao?'</t>
  </si>
  <si>
    <t>Heap dump: capture (jmap/JFR) + đọc trong MAT (dominator tree, retained heap)</t>
  </si>
  <si>
    <t>Tự làm: capture dump, tìm leak trong MAT. AI: hỗ trợ đọc retained heap</t>
  </si>
  <si>
    <t>Tự làm: 1 trang 'từ new Object() đến GC'; reproduce heap + metaspace OOM. AI: verify</t>
  </si>
  <si>
    <t>GC nền tảng: reachability, mark-sweep-compact, generational hypothesis</t>
  </si>
  <si>
    <t>Tự làm: giải thích generational hypothesis + khi nào SAI. AI: challenge</t>
  </si>
  <si>
    <t>Collectors: Serial/Parallel/CMS(deprecated)/G1 — throughput vs latency</t>
  </si>
  <si>
    <t>Tự làm: bảng so sánh 4 GC (use case). AI: verify</t>
  </si>
  <si>
    <t>G1 sâu: regions, humongous objects, RSet, mixed collections, pause target</t>
  </si>
  <si>
    <t>Tự làm: bật -Xlog:gc*, chạy app, đọc từng phase G1. AI: 'phase nào tốn?'</t>
  </si>
  <si>
    <t>Low-pause GC: ZGC &amp; Shenandoah (colored pointers/load barrier, concurrent compaction)</t>
  </si>
  <si>
    <t>Tự làm: chạy cùng app G1 vs ZGC; so sánh pause. AI: interpret</t>
  </si>
  <si>
    <t>GC tuning: heap sizing, pause vs throughput flags, allocation rate</t>
  </si>
  <si>
    <t>Tự làm: tune app target pause &lt;100ms. AI: 'flag nào xung đột?'</t>
  </si>
  <si>
    <t>GC troubleshooting: đọc GC log, phát hiện leak/allocation churn</t>
  </si>
  <si>
    <t>Tự làm: viết memory leak, tìm bằng GC log + heap dump (MAT). AI: hỗ trợ analysis</t>
  </si>
  <si>
    <t>Ôn Tuần 7 (GC decision tree)</t>
  </si>
  <si>
    <t>Tự làm: 'workload nào chọn GC nào' decision tree. AI: challenge tôi</t>
  </si>
  <si>
    <t>Class file anatomy: constant pool, javap -v, verification</t>
  </si>
  <si>
    <t>Tự làm: viết Hello.java, đọc javap -v đầy đủ. AI: giải thích constant pool</t>
  </si>
  <si>
    <t>Bytecode: stack machine, local vars, invoke* (virtual/static/special/interface/dynamic)</t>
  </si>
  <si>
    <t>Tự làm: 4 kiểu invocation, đọc bytecode. AI: 'khi nào từng loại?'</t>
  </si>
  <si>
    <t>ASM: sinh &amp; biến đổi class ở mức bytecode</t>
  </si>
  <si>
    <t>Tự làm: dùng ASM thêm log vào đầu 1 method. AI: 'stack frame map đúng chưa?'</t>
  </si>
  <si>
    <t>ByteBuddy: codegen/interception mức cao</t>
  </si>
  <si>
    <t>Tự làm: ByteBuddy proxy đo thời gian mỗi method call. AI: review</t>
  </si>
  <si>
    <t>Java agents: premain, Instrumentation API, retransformClasses</t>
  </si>
  <si>
    <t>Tự làm: viết -javaagent rewrite 1 method lúc load. AI: 'retransform vs redefine khác gì?'</t>
  </si>
  <si>
    <t>invokedynamic + LambdaMetafactory: lambda/record biên dịch thật ra sao</t>
  </si>
  <si>
    <t>Tự làm: javap 1 lambda; giải thích bootstrap method. AI: verify</t>
  </si>
  <si>
    <t>Ôn Tuần 8</t>
  </si>
  <si>
    <t>Tự làm: build profiling agent nhỏ (đếm method call) bằng ByteBuddy. AI: full review</t>
  </si>
  <si>
    <t>Compilation tiers: interpreter → C1 → C2, tiered, code cache</t>
  </si>
  <si>
    <t>Tự làm: -XX:+PrintCompilation trên hot method. AI: 'giải thích compilation levels'</t>
  </si>
  <si>
    <t>Inlining: threshold, MaxInlineSize; mono/bi/megamorphic call sites</t>
  </si>
  <si>
    <t>Tự làm: ép quan sát inlining; đổi call site mono→mega. AI: 'vì sao mất inlining?'</t>
  </si>
  <si>
    <t>Escape analysis + scalar replacement + lock elision</t>
  </si>
  <si>
    <t>Tự làm: micro chứng minh allocation bị EA loại bỏ. AI: 'EA đã kick in chưa?'</t>
  </si>
  <si>
    <t>Deoptimization: uncommon trap, speculative optimization, warm-up</t>
  </si>
  <si>
    <t>Tự làm: trigger 1 deopt; quan sát trong log. AI: 'vì sao deopt?'</t>
  </si>
  <si>
    <t>JITWatch: đọc compilation log, quyết định inlining, xem assembly</t>
  </si>
  <si>
    <t>Tự làm: chạy JITWatch trên benchmark của bạn. AI: 'hotspot nào chưa tối ưu?'</t>
  </si>
  <si>
    <t>Đọc assembly: -XX:+PrintAssembly (hsdis); nhận diện vectorization (SIMD)</t>
  </si>
  <si>
    <t>Tự làm: đọc asm 1 hot loop; tìm SIMD. AI: giải thích opcode</t>
  </si>
  <si>
    <t>Tự làm: 1 trang '.java → CPU instructions'. AI: verify</t>
  </si>
  <si>
    <t>JMH nền tảng: vì sao nanoTime nói dối; warmup, Blackhole, @State, Mode</t>
  </si>
  <si>
    <t>Tự làm: viết 1 JMH benchmark ĐÚNG vs 1 bản naive. AI: 'bản naive sai chỗ nào?'</t>
  </si>
  <si>
    <t>JMH pitfalls: dead-code elimination, constant folding, loop opt</t>
  </si>
  <si>
    <t>Tự làm: viết benchmark 'sai' rồi sửa bằng Blackhole. AI: review</t>
  </si>
  <si>
    <t>JFR (Java Flight Recorder): events, overhead thấp, phân tích trong JMC</t>
  </si>
  <si>
    <t>Tự làm: record JFR, tìm hotspot trong JMC. AI: 'đọc event này ra sao?'</t>
  </si>
  <si>
    <t>async-profiler: wall/cpu/alloc, flame graph, differential</t>
  </si>
  <si>
    <t>Tự làm: tạo flame graph 1 app thật; đọc nó. AI: 'nhánh nào tốn?'</t>
  </si>
  <si>
    <t>CLI diagnostics: jps/jstat/jstack/jmap; đọc thread dump</t>
  </si>
  <si>
    <t>Tuning end-to-end: app chậm → profile → giả thuyết → fix → đo lại</t>
  </si>
  <si>
    <t>Tự làm: full tuning loop trên 1 app thật (đo trước/sau). AI: interpret</t>
  </si>
  <si>
    <t>Ôn Tuần 10 (perf checklist)</t>
  </si>
  <si>
    <t>MethodHandles + VarHandles như API: vs reflection, hiệu năng</t>
  </si>
  <si>
    <t>Tự làm: field accessor nhanh bằng MethodHandles. AI: 'vì sao nhanh hơn reflection?'</t>
  </si>
  <si>
    <t>Reflection sâu + dynamic proxy (java.lang.reflect.Proxy)</t>
  </si>
  <si>
    <t>Tự làm: logging proxy quanh 1 interface; đo chi phí. AI: review</t>
  </si>
  <si>
    <t>Foreign Function &amp; Memory API (Panama): MemorySegment, Arena, downcall C</t>
  </si>
  <si>
    <t>Tự làm: gọi 1 hàm libc qua FFM. AI: 'lifetime/Arena quản đúng chưa?'</t>
  </si>
  <si>
    <t>Off-heap &amp; Unsafe (và hậu duệ an toàn); direct ByteBuffer</t>
  </si>
  <si>
    <t>Tự làm: ring buffer off-heap; so sánh on-heap. AI: 'rủi ro gì?'</t>
  </si>
  <si>
    <t>Effective Java capstone: audit code (equals/hashCode, builder, immutability, concurrency 78-84)</t>
  </si>
  <si>
    <t>Tự làm: audit code Tuần 1-5. AI: 'chỗ nào tôi break EJ?'</t>
  </si>
  <si>
    <t>'Magic' mini-project: APM tí hon (bytecode timing + JFR + flame output)</t>
  </si>
  <si>
    <t>Tự làm: build APM agent nhỏ ghép W8+W10. AI: full review</t>
  </si>
  <si>
    <t>Ôn Tuần 11 + cheat sheet cá nhân</t>
  </si>
  <si>
    <t>Tự làm: viết cheat sheet JVM/wizard từ memory. AI: 'thiếu ý quan trọng nào?'</t>
  </si>
  <si>
    <t>Nhẹ: đọc 1 JEP sâu (Loom/Panama/ZGC) — chỉ nếu có sức</t>
  </si>
  <si>
    <t>Tự làm: tóm tắt JEP 1 đoạn. Không code.</t>
  </si>
  <si>
    <t>Nhẹ: đọc lại cheat sheet wizard của bạn</t>
  </si>
  <si>
    <t>Tự làm: recall JVM concepts. Không học topic mới.</t>
  </si>
  <si>
    <t>Setup: JDK 21 + IntelliJ + project Maven đầu tiên; static typing vs JS (primitives vs wrapper, autoboxing)</t>
    <phoneticPr fontId="10"/>
  </si>
  <si>
    <t>Sau thi — chọn hướng tiếp: Loom/virtual threads sâu? GraalVM/native image? Đóng góp OpenJDK? Perf-engineering ?</t>
    <phoneticPr fontId="10"/>
  </si>
  <si>
    <t>Bỏ Spring Boot khỏi track (mục tiêu: wizard/JVM internals). Học riêng nếu công ty confirm dùng.</t>
    <phoneticPr fontId="10"/>
  </si>
  <si>
    <t>Tài nguyên &amp; Mục tiêu</t>
  </si>
  <si>
    <t>📘 MJiA ch.1-2; docs Autoboxing · 🎯 Done: chạy được Maven+Guava; nói rõ 3 khác biệt kiểu Java vs JS</t>
  </si>
  <si>
    <t>📘 EJ items 26-29; Java Tutorial: Generics · 🎯 Done: Box&lt;T&gt;/Pair&lt;K,V&gt; compile-safe; hiểu type erasure</t>
  </si>
  <si>
    <t>📘 EJ item 31 (PECS); docs Wildcards · 🎯 Done: giải thích ? extends vs ? super không cần nhìn tài liệu</t>
  </si>
  <si>
    <t>📘 docs HashMap; JOL xem bucket · 🎯 Done: vẽ được treeification; benchmark 3 vị trí insert</t>
  </si>
  <si>
    <t>📘 EJ items 10,11,14,17 · 🎯 Done: equals/hashCode đúng contract; sort đa field ổn định</t>
  </si>
  <si>
    <t>📘 EJ items 69-77; docs try-with-resources · 🎯 Done: exception hierarchy riêng chạy; qua self-review</t>
  </si>
  <si>
    <t>📘 MJiA ch.3; docs java.util.function · 🎯 Done: convert 10 anon class → lambda; dùng andThen/compose</t>
  </si>
  <si>
    <t>📘 MJiA ch.4-5 · 🎯 Done: 3/5 for-loop thành stream sạch; giải thích lazy vs eager</t>
  </si>
  <si>
    <t>📘 MJiA ch.6; EJ item 55 (Optional) · 🎯 Done: report groupingBy chạy; bỏ 5 null-check đúng chỗ</t>
  </si>
  <si>
    <t>📘 JEP 395/440/441; MJiA modern · 🎯 Done: Result&lt;S,E&gt; bằng sealed + switch exhaustive</t>
  </si>
  <si>
    <t>📘 docs java.nio.file · 🎯 Done: CSV/log reader Files.lines không leak resource</t>
  </si>
  <si>
    <t>📘 Maven Getting Started; docs lifecycle · 🎯 Done: fat JAR chạy `java -jar`; kể 8 phase Maven</t>
  </si>
  <si>
    <t>📘 xem lại EJ + MJiA đã đọc · 🎯 Done: rewrite user DB bằng stream+record+Optional; qua review</t>
  </si>
  <si>
    <t>📘 JCiP ch.1-2; docs Thread · 🎯 Done: in 1-10 bằng 2 cách; nói vì sao tách task khỏi thread</t>
  </si>
  <si>
    <t>📘 JCiP ch.3.1 + ch.16; Inside Java · 🎯 Done: diễn giải 5 quy tắc happens-before bằng code</t>
  </si>
  <si>
    <t>📘 JCiP ch.3.1-3.4 · 🎯 Done: reproduce + fix 1 race; biết khi nào volatile KHÔNG đủ</t>
  </si>
  <si>
    <t>📘 JCiP ch.16.2; EJ item 83 · 🎯 Done: viết DCL sai rồi sửa; chỉ ra guarantee JMM áp dụng</t>
  </si>
  <si>
    <t>📘 JCiP ch.10 + ch.14.2 · 🎯 Done: tạo deadlock rồi fix bằng lock ordering</t>
  </si>
  <si>
    <t>📘 JCiP ch.14; docs BlockingQueue · 🎯 Done: bounded buffer wait/notify đúng; so ArrayBlockingQueue</t>
  </si>
  <si>
    <t>📘 xem lại JCiP ch.1-3,10,14 · 🎯 Done: predict đúng 5 kịch bản thread rồi verify</t>
  </si>
  <si>
    <t>📘 JCiP ch.6,8; docs Executors · 🎯 Done: refactor sang FixedThreadPool + shutdown đúng</t>
  </si>
  <si>
    <t>📘 JCiP ch.6.3; docs Future · 🎯 Done: parallel sum + get(timeout) + cancel sạch</t>
  </si>
  <si>
    <t>📘 docs CompletableFuture · 🎯 Done: pipeline fetch→transform→aggregate chạy async</t>
  </si>
  <si>
    <t>📘 docs CF (handle/allOf); Baeldung CF · 🎯 Done: gọi 3 API song song + xử lý partial failure</t>
  </si>
  <si>
    <t>📘 JCiP ch.5; docs j.u.c.atomic · 🎯 Done: counter thread-safe 3 cách + benchmark, nêu tradeoff</t>
  </si>
  <si>
    <t>📘 JCiP ch.8.3; docs ThreadPoolExecutor · 🎯 Done: tune pool bursty; quan sát rejection xảy ra</t>
  </si>
  <si>
    <t>📘 xem lại JCiP ch.5,6,8 · 🎯 Done: parallel file processor (CF aggregate) chạy đúng</t>
  </si>
  <si>
    <t>📘 JCiP ch.14.5; đọc source AQS · 🎯 Done: build 1 latch trên AQS; giải thích state + CAS</t>
  </si>
  <si>
    <t>📘 JCiP ch.13; docs StampedLock · 🎯 Done: cache chuyển StampedLock optimistic; biết khi nào thua</t>
  </si>
  <si>
    <t>📘 JCiP ch.15; ref Treiber stack · 🎯 Done: lock-free stack qua stress test đa luồng; chỉ ra ABA</t>
  </si>
  <si>
    <t>📘 docs VarHandle; JEP 193 · 🎯 Done: thay 1 Atomic bằng VarHandle + chọn fence đúng</t>
  </si>
  <si>
    <t>📘 docs @Contended; JMH · 🎯 Done: benchmark false sharing rồi fix padding; đọc được số liệu</t>
  </si>
  <si>
    <t>📘 JEP 444/453; Inside Java (Loom) · 🎯 Done: rewrite bằng virtual threads; nêu khi nào KHÔNG dùng</t>
  </si>
  <si>
    <t>📘 xem lại JCiP ch.13-15 · 🎯 Done: rate limiter/work-stealing nhỏ chạy; kể 3 anti-pattern</t>
  </si>
  <si>
    <t>📘 JVMS ch.2.5-2.6; JP (Oaks) memory · 🎯 Done: vẽ đúng stack/heap/metaspace/PC register</t>
  </si>
  <si>
    <t>📘 JP ch.GC; Oracle GC Tuning Guide · 🎯 Done: vẽ Young/Old + giải thích promotion &amp; aging</t>
  </si>
  <si>
    <t>📘 JOL samples; JP object layout · 🎯 Done: dùng JOL đo size; giải thích padding 12→16 byte</t>
  </si>
  <si>
    <t>📘 docs java.lang.ref; JP · 🎯 Done: cache Weak/Soft chạy; nêu khi nào WeakReference tệ</t>
  </si>
  <si>
    <t>📘 JP troubleshooting; docs OOMError · 🎯 Done: gây đủ 4 loại OOM; phân biệt qua log</t>
  </si>
  <si>
    <t>📘 Eclipse MAT docs; JP heap analysis · 🎯 Done: tìm leak trong MAT (dominator/retained heap)</t>
  </si>
  <si>
    <t>📘 xem lại JP memory + JVMS ch.2 · 🎯 Done: viết 1 trang new→GC; reproduce 2 loại OOM</t>
  </si>
  <si>
    <t>📘 JP ch.GC intro · 🎯 Done: giải thích generational hypothesis + khi nào SAI</t>
  </si>
  <si>
    <t>📘 JP ch.GC; Oracle GC guide · 🎯 Done: bảng so 4 GC theo use case (verify docs)</t>
  </si>
  <si>
    <t>📘 Oracle G1 docs; -Xlog:gc* · 🎯 Done: đọc từng phase G1 từ log; chỉ ra phase tốn nhất</t>
  </si>
  <si>
    <t>📘 JEP 377/379; Inside Java (GC) · 🎯 Done: chạy G1 vs ZGC; so pause + giải thích load barrier</t>
  </si>
  <si>
    <t>📘 JP ch.tuning; Oracle flags ref · 🎯 Done: tune app pause &lt;100ms; chỉ ra flag xung đột</t>
  </si>
  <si>
    <t>📘 JP troubleshooting; MAT + gc log · 🎯 Done: tìm leak bằng GC log + heap dump</t>
  </si>
  <si>
    <t>📘 xem lại JP GC chapters · 🎯 Done: decision tree workload→GC; tự bảo vệ lựa chọn</t>
  </si>
  <si>
    <t>📘 JVMS ch.4; javap -v · 🎯 Done: đọc trọn constant pool 1 class; giải thích verification</t>
  </si>
  <si>
    <t>📘 JVMS ch.6 (invoke*); javap -c · 🎯 Done: phân biệt 5 loại invoke qua bytecode</t>
  </si>
  <si>
    <t>📘 ASM User Guide (OW2) · 🎯 Done: dùng ASM thêm log đầu method; stack-frame map đúng</t>
  </si>
  <si>
    <t>📘 ByteBuddy tutorial (Winterhalter) · 🎯 Done: proxy đo thời gian mỗi method call</t>
  </si>
  <si>
    <t>📘 docs java.lang.instrument · 🎯 Done: -javaagent rewrite method lúc load; retransform vs redefine</t>
  </si>
  <si>
    <t>📘 JVMS invokedynamic; LambdaMetafactory · 🎯 Done: giải thích bootstrap method của 1 lambda</t>
  </si>
  <si>
    <t>📘 xem lại JVMS ch.4,6 + ByteBuddy · 🎯 Done: agent đếm method call bằng ByteBuddy chạy</t>
  </si>
  <si>
    <t>📘 JP ch.JIT; -XX:+PrintCompilation · 🎯 Done: giải thích interpreter→C1→C2 từ log</t>
  </si>
  <si>
    <t>📘 JP JIT; JITWatch docs · 🎯 Done: quan sát mất inlining khi mono→megamorphic</t>
  </si>
  <si>
    <t>📘 JP JIT; bài viết escape analysis · 🎯 Done: micro chứng minh allocation bị EA loại bỏ</t>
  </si>
  <si>
    <t>📘 JP JIT; docs uncommon trap · 🎯 Done: trigger 1 deopt và giải thích lý do từ log</t>
  </si>
  <si>
    <t>📘 JITWatch (Chris Newland) · 🎯 Done: chạy JITWatch trên benchmark; chỉ hotspot chưa tối ưu</t>
  </si>
  <si>
    <t>📘 hsdis + -XX:+PrintAssembly; JP · 🎯 Done: đọc asm 1 hot loop; nhận diện vectorization (SIMD)</t>
  </si>
  <si>
    <t>📘 xem lại JP JIT chapters · 🎯 Done: viết 1 trang .java→CPU instructions; verify docs</t>
  </si>
  <si>
    <t>📘 JMH samples (openjdk); JP benchmarking · 🎯 Done: 1 JMH đúng (warmup/Blackhole/@State) vs bản naive</t>
  </si>
  <si>
    <t>📘 JMH samples (DCE/constant fold) · 🎯 Done: sửa benchmark sai bằng Blackhole</t>
  </si>
  <si>
    <t>📘 docs JFR; JMC user guide · 🎯 Done: record JFR rồi tìm hotspot trong JMC</t>
  </si>
  <si>
    <t>📘 async-profiler README · 🎯 Done: tạo + đọc flame graph app thật; chỉ ra nhánh tốn</t>
  </si>
  <si>
    <t>📘 docs jps/jstat/jstack/jmap · 🎯 Done: dùng jstack tìm thread bị block; đọc dump</t>
  </si>
  <si>
    <t>📘 JP ch.methodology · 🎯 Done: chạy full loop profile→fix→đo; cải thiện đo được</t>
  </si>
  <si>
    <t>📘 xem lại JP perf + JFR/async-profiler · 🎯 Done: checklist chẩn đoán JVM đầy đủ</t>
  </si>
  <si>
    <t>📘 docs java.lang.invoke; JP reflection · 🎯 Done: MethodHandle accessor nhanh hơn reflection, giải thích vì sao</t>
  </si>
  <si>
    <t>📘 docs Reflection + Proxy · 🎯 Done: logging proxy quanh 1 interface + đo chi phí</t>
  </si>
  <si>
    <t>📘 JEP 454 (FFM); Inside Java (Panama) · 🎯 Done: gọi 1 hàm libc qua FFM; Arena quản đúng lifetime</t>
  </si>
  <si>
    <t>📘 docs DirectByteBuffer + MemorySegment · 🎯 Done: ring buffer off-heap chạy; nêu rủi ro</t>
  </si>
  <si>
    <t>📘 Effective Java items 78-84 · 🎯 Done: audit code W1-5; chỉ ra chỗ break EJ</t>
  </si>
  <si>
    <t>📘 ghép W8 (ByteBuddy) + W10 (JFR) · 🎯 Done: APM tí hon: bytecode timing + JFR + flame output</t>
  </si>
  <si>
    <t>📘 tổng hợp toàn bộ ghi chú JVM · 🎯 Done: cheat sheet wizard viết từ trí nhớ</t>
  </si>
  <si>
    <t>📘 1 JEP sâu (Loom/Panama/ZGC) · 🎯 Done: tóm tắt JEP 1 đoạn — không code</t>
  </si>
  <si>
    <t>📘 cheat sheet wizard của bạn · 🎯 Done: recall concepts — không topic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</si>
</sst>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12" x14ac:knownFonts="1">
    <font>
      <sz val="11"/>
      <color theme="1"/>
      <name val="Calibri"/>
      <scheme val="minor"/>
    </font>
    <font>
      <b/>
      <sz val="16"/>
      <color rgb="FF2F5597"/>
      <name val="Arial"/>
    </font>
    <font>
      <i/>
      <sz val="10"/>
      <color rgb="FF595959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rgb="FF2F5597"/>
      <name val="Arial"/>
    </font>
    <font>
      <b/>
      <sz val="11"/>
      <color rgb="FFFFFFFF"/>
      <name val="Arial"/>
    </font>
    <font>
      <sz val="11"/>
      <color theme="1"/>
      <name val="Calibri"/>
    </font>
    <font>
      <sz val="10"/>
      <color rgb="FF0563C1"/>
      <name val="Arial"/>
    </font>
    <font>
      <u/>
      <sz val="10"/>
      <color rgb="FF0000FF"/>
      <name val="Arial"/>
    </font>
    <font>
      <sz val="6"/>
      <name val="Calibri"/>
      <family val="3"/>
      <charset val="128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4E5"/>
        <bgColor rgb="FFFFF4E5"/>
      </patternFill>
    </fill>
    <fill>
      <patternFill patternType="solid">
        <fgColor rgb="FFE8F0FE"/>
        <bgColor rgb="FFE8F0FE"/>
      </patternFill>
    </fill>
    <fill>
      <patternFill patternType="solid">
        <fgColor rgb="FFD9E7FD"/>
        <bgColor rgb="FFD9E7FD"/>
      </patternFill>
    </fill>
    <fill>
      <patternFill patternType="solid">
        <fgColor rgb="FFF4CCCC"/>
        <bgColor rgb="FFF4CCCC"/>
      </patternFill>
    </fill>
    <fill>
      <patternFill patternType="solid">
        <fgColor rgb="FFF0F0F0"/>
        <bgColor rgb="FFF0F0F0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176" fontId="4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center"/>
    </xf>
    <xf numFmtId="176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176" fontId="4" fillId="6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5" fillId="0" borderId="0" xfId="0" applyFont="1"/>
    <xf numFmtId="0" fontId="0" fillId="0" borderId="0" xfId="0"/>
    <xf numFmtId="0" fontId="1" fillId="0" borderId="0" xfId="0" applyFont="1"/>
    <xf numFmtId="0" fontId="4" fillId="0" borderId="0" xfId="0" applyFont="1"/>
    <xf numFmtId="0" fontId="11" fillId="0" borderId="0" xfId="0" applyFont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5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tutorialsdoj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B13" sqref="B13"/>
    </sheetView>
  </sheetViews>
  <sheetFormatPr defaultColWidth="14.453125" defaultRowHeight="15" customHeight="1" x14ac:dyDescent="0.35"/>
  <cols>
    <col min="1" max="1" width="14" customWidth="1"/>
    <col min="2" max="2" width="22" customWidth="1"/>
    <col min="3" max="3" width="34" customWidth="1"/>
    <col min="4" max="4" width="38" customWidth="1"/>
    <col min="5" max="5" width="40" customWidth="1"/>
    <col min="6" max="6" width="24" customWidth="1"/>
    <col min="7" max="26" width="8.7265625" customWidth="1"/>
  </cols>
  <sheetData>
    <row r="1" spans="1:6" ht="20" x14ac:dyDescent="0.4">
      <c r="A1" s="32" t="s">
        <v>0</v>
      </c>
      <c r="B1" s="31"/>
      <c r="C1" s="31"/>
      <c r="D1" s="31"/>
      <c r="E1" s="31"/>
      <c r="F1" s="31"/>
    </row>
    <row r="2" spans="1:6" ht="14.5" x14ac:dyDescent="0.35">
      <c r="A2" s="35" t="s">
        <v>351</v>
      </c>
      <c r="B2" s="31"/>
      <c r="C2" s="31"/>
      <c r="D2" s="31"/>
      <c r="E2" s="31"/>
      <c r="F2" s="31"/>
    </row>
    <row r="4" spans="1:6" ht="14.5" x14ac:dyDescent="0.35">
      <c r="A4" s="1" t="s">
        <v>1</v>
      </c>
      <c r="B4" s="2" t="s">
        <v>2</v>
      </c>
    </row>
    <row r="5" spans="1:6" ht="14.5" x14ac:dyDescent="0.35">
      <c r="A5" s="1" t="s">
        <v>3</v>
      </c>
      <c r="B5" s="2" t="s">
        <v>4</v>
      </c>
    </row>
    <row r="6" spans="1:6" ht="14.5" x14ac:dyDescent="0.35">
      <c r="A6" s="1" t="s">
        <v>5</v>
      </c>
      <c r="B6" s="2" t="s">
        <v>6</v>
      </c>
    </row>
    <row r="7" spans="1:6" ht="14.5" x14ac:dyDescent="0.35">
      <c r="A7" s="1" t="s">
        <v>7</v>
      </c>
      <c r="B7" s="2" t="s">
        <v>8</v>
      </c>
    </row>
    <row r="8" spans="1:6" ht="14.5" x14ac:dyDescent="0.35">
      <c r="A8" s="1" t="s">
        <v>9</v>
      </c>
      <c r="B8" s="2" t="s">
        <v>10</v>
      </c>
    </row>
    <row r="9" spans="1:6" ht="14.5" x14ac:dyDescent="0.35">
      <c r="A9" s="1" t="s">
        <v>11</v>
      </c>
      <c r="B9" s="2" t="s">
        <v>12</v>
      </c>
    </row>
    <row r="11" spans="1:6" ht="15.5" x14ac:dyDescent="0.35">
      <c r="A11" s="3" t="s">
        <v>13</v>
      </c>
    </row>
    <row r="12" spans="1:6" ht="14.5" x14ac:dyDescent="0.35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</row>
    <row r="13" spans="1:6" ht="43.5" customHeight="1" x14ac:dyDescent="0.35">
      <c r="A13" s="5">
        <v>1</v>
      </c>
      <c r="B13" s="5" t="s">
        <v>20</v>
      </c>
      <c r="C13" s="6" t="s">
        <v>21</v>
      </c>
      <c r="D13" s="7" t="s">
        <v>352</v>
      </c>
      <c r="E13" s="8" t="s">
        <v>353</v>
      </c>
      <c r="F13" s="8" t="s">
        <v>22</v>
      </c>
    </row>
    <row r="14" spans="1:6" ht="43.5" customHeight="1" x14ac:dyDescent="0.35">
      <c r="A14" s="5">
        <v>2</v>
      </c>
      <c r="B14" s="5" t="s">
        <v>23</v>
      </c>
      <c r="C14" s="6" t="s">
        <v>24</v>
      </c>
      <c r="D14" s="7" t="s">
        <v>354</v>
      </c>
      <c r="E14" s="8" t="s">
        <v>355</v>
      </c>
      <c r="F14" s="8" t="s">
        <v>22</v>
      </c>
    </row>
    <row r="15" spans="1:6" ht="43.5" customHeight="1" x14ac:dyDescent="0.35">
      <c r="A15" s="5">
        <v>3</v>
      </c>
      <c r="B15" s="5" t="s">
        <v>25</v>
      </c>
      <c r="C15" s="6" t="s">
        <v>26</v>
      </c>
      <c r="D15" s="7" t="s">
        <v>356</v>
      </c>
      <c r="E15" s="8" t="s">
        <v>357</v>
      </c>
      <c r="F15" s="8" t="s">
        <v>22</v>
      </c>
    </row>
    <row r="16" spans="1:6" ht="43.5" customHeight="1" x14ac:dyDescent="0.35">
      <c r="A16" s="5">
        <v>4</v>
      </c>
      <c r="B16" s="5" t="s">
        <v>27</v>
      </c>
      <c r="C16" s="6" t="s">
        <v>28</v>
      </c>
      <c r="D16" s="7" t="s">
        <v>358</v>
      </c>
      <c r="E16" s="8" t="s">
        <v>359</v>
      </c>
      <c r="F16" s="8" t="s">
        <v>22</v>
      </c>
    </row>
    <row r="17" spans="1:6" ht="43.5" customHeight="1" x14ac:dyDescent="0.35">
      <c r="A17" s="5">
        <v>5</v>
      </c>
      <c r="B17" s="5" t="s">
        <v>29</v>
      </c>
      <c r="C17" s="6" t="s">
        <v>30</v>
      </c>
      <c r="D17" s="7" t="s">
        <v>360</v>
      </c>
      <c r="E17" s="8" t="s">
        <v>361</v>
      </c>
      <c r="F17" s="8" t="s">
        <v>362</v>
      </c>
    </row>
    <row r="18" spans="1:6" ht="43.5" customHeight="1" x14ac:dyDescent="0.35">
      <c r="A18" s="5">
        <v>6</v>
      </c>
      <c r="B18" s="5" t="s">
        <v>31</v>
      </c>
      <c r="C18" s="6" t="s">
        <v>32</v>
      </c>
      <c r="D18" s="7" t="s">
        <v>363</v>
      </c>
      <c r="E18" s="8" t="s">
        <v>364</v>
      </c>
      <c r="F18" s="8" t="s">
        <v>22</v>
      </c>
    </row>
    <row r="19" spans="1:6" ht="43.5" customHeight="1" x14ac:dyDescent="0.35">
      <c r="A19" s="5">
        <v>7</v>
      </c>
      <c r="B19" s="5" t="s">
        <v>33</v>
      </c>
      <c r="C19" s="6" t="s">
        <v>34</v>
      </c>
      <c r="D19" s="9" t="s">
        <v>365</v>
      </c>
      <c r="E19" s="8" t="s">
        <v>366</v>
      </c>
      <c r="F19" s="8" t="s">
        <v>35</v>
      </c>
    </row>
    <row r="20" spans="1:6" ht="43.5" customHeight="1" x14ac:dyDescent="0.35">
      <c r="A20" s="5">
        <v>8</v>
      </c>
      <c r="B20" s="5" t="s">
        <v>36</v>
      </c>
      <c r="C20" s="6" t="s">
        <v>37</v>
      </c>
      <c r="D20" s="9" t="s">
        <v>367</v>
      </c>
      <c r="E20" s="8" t="s">
        <v>368</v>
      </c>
      <c r="F20" s="8" t="s">
        <v>38</v>
      </c>
    </row>
    <row r="21" spans="1:6" ht="43.5" customHeight="1" x14ac:dyDescent="0.35">
      <c r="A21" s="5">
        <v>9</v>
      </c>
      <c r="B21" s="5" t="s">
        <v>39</v>
      </c>
      <c r="C21" s="6" t="s">
        <v>40</v>
      </c>
      <c r="D21" s="9" t="s">
        <v>369</v>
      </c>
      <c r="E21" s="8" t="s">
        <v>370</v>
      </c>
      <c r="F21" s="8" t="s">
        <v>41</v>
      </c>
    </row>
    <row r="22" spans="1:6" ht="43.5" customHeight="1" x14ac:dyDescent="0.35">
      <c r="A22" s="5">
        <v>10</v>
      </c>
      <c r="B22" s="5" t="s">
        <v>42</v>
      </c>
      <c r="C22" s="6" t="s">
        <v>43</v>
      </c>
      <c r="D22" s="9" t="s">
        <v>371</v>
      </c>
      <c r="E22" s="8" t="s">
        <v>372</v>
      </c>
      <c r="F22" s="8" t="s">
        <v>44</v>
      </c>
    </row>
    <row r="23" spans="1:6" ht="43.5" customHeight="1" x14ac:dyDescent="0.35">
      <c r="A23" s="5">
        <v>11</v>
      </c>
      <c r="B23" s="5" t="s">
        <v>45</v>
      </c>
      <c r="C23" s="6" t="s">
        <v>46</v>
      </c>
      <c r="D23" s="7" t="s">
        <v>373</v>
      </c>
      <c r="E23" s="8" t="s">
        <v>374</v>
      </c>
      <c r="F23" s="8" t="s">
        <v>47</v>
      </c>
    </row>
    <row r="24" spans="1:6" ht="43.5" customHeight="1" x14ac:dyDescent="0.35">
      <c r="A24" s="10">
        <v>12</v>
      </c>
      <c r="B24" s="10" t="s">
        <v>48</v>
      </c>
      <c r="C24" s="11" t="s">
        <v>49</v>
      </c>
      <c r="D24" s="11" t="s">
        <v>375</v>
      </c>
      <c r="E24" s="11" t="s">
        <v>50</v>
      </c>
      <c r="F24" s="11" t="s">
        <v>51</v>
      </c>
    </row>
    <row r="25" spans="1:6" ht="15.75" customHeight="1" x14ac:dyDescent="0.35"/>
    <row r="26" spans="1:6" ht="15.75" customHeight="1" x14ac:dyDescent="0.35"/>
    <row r="27" spans="1:6" ht="15.75" customHeight="1" x14ac:dyDescent="0.35">
      <c r="A27" s="3" t="s">
        <v>52</v>
      </c>
    </row>
    <row r="28" spans="1:6" ht="15.75" customHeight="1" x14ac:dyDescent="0.35">
      <c r="A28" s="1" t="s">
        <v>376</v>
      </c>
      <c r="B28" s="33" t="s">
        <v>377</v>
      </c>
      <c r="C28" s="31"/>
    </row>
    <row r="29" spans="1:6" ht="15.75" customHeight="1" x14ac:dyDescent="0.35">
      <c r="A29" s="1" t="s">
        <v>378</v>
      </c>
      <c r="B29" s="33" t="s">
        <v>379</v>
      </c>
      <c r="C29" s="31"/>
    </row>
    <row r="30" spans="1:6" ht="15.75" customHeight="1" x14ac:dyDescent="0.35">
      <c r="A30" s="1" t="s">
        <v>380</v>
      </c>
      <c r="B30" s="33" t="s">
        <v>381</v>
      </c>
      <c r="C30" s="31"/>
    </row>
    <row r="31" spans="1:6" ht="15.75" customHeight="1" x14ac:dyDescent="0.35">
      <c r="A31" s="1" t="s">
        <v>382</v>
      </c>
      <c r="B31" s="33" t="s">
        <v>383</v>
      </c>
      <c r="C31" s="31"/>
    </row>
    <row r="32" spans="1:6" ht="15.75" customHeight="1" x14ac:dyDescent="0.35"/>
    <row r="33" spans="1:6" ht="15.75" customHeight="1" x14ac:dyDescent="0.35"/>
    <row r="34" spans="1:6" ht="15.75" customHeight="1" x14ac:dyDescent="0.35">
      <c r="A34" s="3" t="s">
        <v>53</v>
      </c>
    </row>
    <row r="35" spans="1:6" ht="15.75" customHeight="1" x14ac:dyDescent="0.35">
      <c r="A35" s="1" t="s">
        <v>54</v>
      </c>
      <c r="B35" s="33" t="s">
        <v>55</v>
      </c>
      <c r="C35" s="31"/>
      <c r="D35" s="31"/>
      <c r="E35" s="31"/>
      <c r="F35" s="31"/>
    </row>
    <row r="36" spans="1:6" ht="15.75" customHeight="1" x14ac:dyDescent="0.35">
      <c r="A36" s="1" t="s">
        <v>56</v>
      </c>
      <c r="B36" s="33" t="s">
        <v>57</v>
      </c>
      <c r="C36" s="31"/>
      <c r="D36" s="31"/>
      <c r="E36" s="31"/>
      <c r="F36" s="31"/>
    </row>
    <row r="37" spans="1:6" ht="15.75" customHeight="1" x14ac:dyDescent="0.35">
      <c r="A37" s="1" t="s">
        <v>58</v>
      </c>
      <c r="B37" s="33" t="s">
        <v>59</v>
      </c>
      <c r="C37" s="31"/>
      <c r="D37" s="31"/>
      <c r="E37" s="31"/>
      <c r="F37" s="31"/>
    </row>
    <row r="38" spans="1:6" ht="15.75" customHeight="1" x14ac:dyDescent="0.35">
      <c r="A38" s="1"/>
      <c r="B38" s="33" t="s">
        <v>60</v>
      </c>
      <c r="C38" s="31"/>
      <c r="D38" s="31"/>
      <c r="E38" s="31"/>
      <c r="F38" s="31"/>
    </row>
    <row r="39" spans="1:6" ht="15.75" customHeight="1" x14ac:dyDescent="0.35"/>
    <row r="40" spans="1:6" ht="15.75" customHeight="1" x14ac:dyDescent="0.35"/>
    <row r="41" spans="1:6" ht="15.75" customHeight="1" x14ac:dyDescent="0.35">
      <c r="A41" s="3" t="s">
        <v>61</v>
      </c>
    </row>
    <row r="42" spans="1:6" ht="42" customHeight="1" x14ac:dyDescent="0.35">
      <c r="A42" s="34" t="s">
        <v>536</v>
      </c>
      <c r="B42" s="31"/>
      <c r="C42" s="31"/>
      <c r="D42" s="31"/>
      <c r="E42" s="31"/>
      <c r="F42" s="31"/>
    </row>
    <row r="43" spans="1:6" ht="15.75" customHeight="1" x14ac:dyDescent="0.35"/>
    <row r="44" spans="1:6" ht="15.75" customHeight="1" x14ac:dyDescent="0.35"/>
    <row r="45" spans="1:6" ht="15.75" customHeight="1" x14ac:dyDescent="0.35"/>
    <row r="46" spans="1:6" ht="15.75" customHeight="1" x14ac:dyDescent="0.35"/>
    <row r="47" spans="1:6" ht="15.75" customHeight="1" x14ac:dyDescent="0.35"/>
    <row r="48" spans="1: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1">
    <mergeCell ref="B36:F36"/>
    <mergeCell ref="B37:F37"/>
    <mergeCell ref="B38:F38"/>
    <mergeCell ref="A42:F42"/>
    <mergeCell ref="A1:F1"/>
    <mergeCell ref="A2:F2"/>
    <mergeCell ref="B28:C28"/>
    <mergeCell ref="B29:C29"/>
    <mergeCell ref="B30:C30"/>
    <mergeCell ref="B31:C31"/>
    <mergeCell ref="B35:F35"/>
  </mergeCells>
  <phoneticPr fontId="10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9"/>
  <sheetViews>
    <sheetView tabSelected="1" topLeftCell="G1" workbookViewId="0">
      <pane ySplit="4" topLeftCell="A22" activePane="bottomLeft" state="frozen"/>
      <selection pane="bottomLeft" activeCell="H6" sqref="H6"/>
    </sheetView>
  </sheetViews>
  <sheetFormatPr defaultColWidth="14.453125" defaultRowHeight="15" customHeight="1" x14ac:dyDescent="0.35"/>
  <cols>
    <col min="1" max="1" width="7" customWidth="1"/>
    <col min="2" max="2" width="12" customWidth="1"/>
    <col min="3" max="3" width="5" customWidth="1"/>
    <col min="4" max="4" width="6" customWidth="1"/>
    <col min="5" max="6" width="40" customWidth="1"/>
    <col min="7" max="7" width="36" customWidth="1"/>
    <col min="8" max="8" width="52" customWidth="1"/>
    <col min="9" max="9" width="48" customWidth="1"/>
    <col min="10" max="10" width="10" customWidth="1"/>
    <col min="11" max="26" width="8.7265625" customWidth="1"/>
  </cols>
  <sheetData>
    <row r="1" spans="1:10" ht="20" x14ac:dyDescent="0.4">
      <c r="A1" s="32" t="s">
        <v>62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4.5" x14ac:dyDescent="0.35">
      <c r="A2" s="35"/>
      <c r="B2" s="31"/>
      <c r="C2" s="31"/>
      <c r="D2" s="31"/>
      <c r="E2" s="31"/>
      <c r="F2" s="31"/>
      <c r="G2" s="31"/>
      <c r="H2" s="31"/>
      <c r="I2" s="31"/>
      <c r="J2" s="31"/>
    </row>
    <row r="4" spans="1:10" ht="28" x14ac:dyDescent="0.35">
      <c r="A4" s="4" t="s">
        <v>63</v>
      </c>
      <c r="B4" s="4" t="s">
        <v>15</v>
      </c>
      <c r="C4" s="4" t="s">
        <v>64</v>
      </c>
      <c r="D4" s="4" t="s">
        <v>14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537</v>
      </c>
      <c r="J4" s="4" t="s">
        <v>69</v>
      </c>
    </row>
    <row r="5" spans="1:10" ht="54" customHeight="1" x14ac:dyDescent="0.35">
      <c r="A5" s="5">
        <v>2</v>
      </c>
      <c r="B5" s="12">
        <v>46210</v>
      </c>
      <c r="C5" s="5" t="s">
        <v>70</v>
      </c>
      <c r="D5" s="5">
        <v>1</v>
      </c>
      <c r="E5" s="6" t="s">
        <v>71</v>
      </c>
      <c r="F5" s="6" t="s">
        <v>72</v>
      </c>
      <c r="G5" s="28" t="s">
        <v>534</v>
      </c>
      <c r="H5" s="7" t="s">
        <v>384</v>
      </c>
      <c r="I5" s="7" t="s">
        <v>538</v>
      </c>
      <c r="J5" s="5" t="s">
        <v>73</v>
      </c>
    </row>
    <row r="6" spans="1:10" ht="54" customHeight="1" x14ac:dyDescent="0.35">
      <c r="A6" s="5">
        <v>3</v>
      </c>
      <c r="B6" s="12">
        <v>46211</v>
      </c>
      <c r="C6" s="5" t="s">
        <v>74</v>
      </c>
      <c r="D6" s="5">
        <v>1</v>
      </c>
      <c r="E6" s="6" t="s">
        <v>75</v>
      </c>
      <c r="F6" s="6" t="s">
        <v>76</v>
      </c>
      <c r="G6" s="7" t="s">
        <v>385</v>
      </c>
      <c r="H6" s="7" t="s">
        <v>386</v>
      </c>
      <c r="I6" s="7" t="s">
        <v>539</v>
      </c>
      <c r="J6" s="5" t="s">
        <v>73</v>
      </c>
    </row>
    <row r="7" spans="1:10" ht="54" customHeight="1" x14ac:dyDescent="0.35">
      <c r="A7" s="5">
        <v>4</v>
      </c>
      <c r="B7" s="12">
        <v>46212</v>
      </c>
      <c r="C7" s="5" t="s">
        <v>77</v>
      </c>
      <c r="D7" s="5">
        <v>1</v>
      </c>
      <c r="E7" s="6" t="s">
        <v>78</v>
      </c>
      <c r="F7" s="6" t="s">
        <v>79</v>
      </c>
      <c r="G7" s="7" t="s">
        <v>387</v>
      </c>
      <c r="H7" s="7" t="s">
        <v>388</v>
      </c>
      <c r="I7" s="7" t="s">
        <v>540</v>
      </c>
      <c r="J7" s="5" t="s">
        <v>73</v>
      </c>
    </row>
    <row r="8" spans="1:10" ht="54" customHeight="1" x14ac:dyDescent="0.35">
      <c r="A8" s="5">
        <v>5</v>
      </c>
      <c r="B8" s="12">
        <v>46213</v>
      </c>
      <c r="C8" s="5" t="s">
        <v>80</v>
      </c>
      <c r="D8" s="5">
        <v>1</v>
      </c>
      <c r="E8" s="6" t="s">
        <v>81</v>
      </c>
      <c r="F8" s="6" t="s">
        <v>82</v>
      </c>
      <c r="G8" s="7" t="s">
        <v>389</v>
      </c>
      <c r="H8" s="7" t="s">
        <v>390</v>
      </c>
      <c r="I8" s="7" t="s">
        <v>541</v>
      </c>
      <c r="J8" s="5" t="s">
        <v>73</v>
      </c>
    </row>
    <row r="9" spans="1:10" ht="54" customHeight="1" x14ac:dyDescent="0.35">
      <c r="A9" s="5">
        <v>6</v>
      </c>
      <c r="B9" s="12">
        <v>46214</v>
      </c>
      <c r="C9" s="5" t="s">
        <v>83</v>
      </c>
      <c r="D9" s="5">
        <v>1</v>
      </c>
      <c r="E9" s="6" t="s">
        <v>84</v>
      </c>
      <c r="F9" s="6" t="s">
        <v>85</v>
      </c>
      <c r="G9" s="7" t="s">
        <v>391</v>
      </c>
      <c r="H9" s="7" t="s">
        <v>392</v>
      </c>
      <c r="I9" s="7" t="s">
        <v>542</v>
      </c>
      <c r="J9" s="5" t="s">
        <v>73</v>
      </c>
    </row>
    <row r="10" spans="1:10" ht="54" customHeight="1" x14ac:dyDescent="0.35">
      <c r="A10" s="13">
        <v>7</v>
      </c>
      <c r="B10" s="14">
        <v>46215</v>
      </c>
      <c r="C10" s="13" t="s">
        <v>86</v>
      </c>
      <c r="D10" s="13">
        <v>1</v>
      </c>
      <c r="E10" s="15" t="s">
        <v>87</v>
      </c>
      <c r="F10" s="15" t="s">
        <v>88</v>
      </c>
      <c r="G10" s="15" t="s">
        <v>393</v>
      </c>
      <c r="H10" s="15" t="s">
        <v>394</v>
      </c>
      <c r="I10" s="7" t="s">
        <v>543</v>
      </c>
      <c r="J10" s="13" t="s">
        <v>73</v>
      </c>
    </row>
    <row r="11" spans="1:10" ht="54" customHeight="1" x14ac:dyDescent="0.35">
      <c r="A11" s="5">
        <v>8</v>
      </c>
      <c r="B11" s="12">
        <v>46216</v>
      </c>
      <c r="C11" s="5" t="s">
        <v>89</v>
      </c>
      <c r="D11" s="5">
        <v>2</v>
      </c>
      <c r="E11" s="6" t="s">
        <v>90</v>
      </c>
      <c r="F11" s="6" t="s">
        <v>91</v>
      </c>
      <c r="G11" s="7" t="s">
        <v>395</v>
      </c>
      <c r="H11" s="7" t="s">
        <v>396</v>
      </c>
      <c r="I11" s="7" t="s">
        <v>544</v>
      </c>
      <c r="J11" s="5" t="s">
        <v>73</v>
      </c>
    </row>
    <row r="12" spans="1:10" ht="54" customHeight="1" x14ac:dyDescent="0.35">
      <c r="A12" s="5">
        <v>9</v>
      </c>
      <c r="B12" s="12">
        <v>46217</v>
      </c>
      <c r="C12" s="5" t="s">
        <v>70</v>
      </c>
      <c r="D12" s="5">
        <v>2</v>
      </c>
      <c r="E12" s="6" t="s">
        <v>92</v>
      </c>
      <c r="F12" s="6" t="s">
        <v>93</v>
      </c>
      <c r="G12" s="7" t="s">
        <v>397</v>
      </c>
      <c r="H12" s="7" t="s">
        <v>398</v>
      </c>
      <c r="I12" s="7" t="s">
        <v>545</v>
      </c>
      <c r="J12" s="5" t="s">
        <v>73</v>
      </c>
    </row>
    <row r="13" spans="1:10" ht="54" customHeight="1" x14ac:dyDescent="0.35">
      <c r="A13" s="5">
        <v>10</v>
      </c>
      <c r="B13" s="12">
        <v>46218</v>
      </c>
      <c r="C13" s="5" t="s">
        <v>74</v>
      </c>
      <c r="D13" s="5">
        <v>2</v>
      </c>
      <c r="E13" s="6" t="s">
        <v>94</v>
      </c>
      <c r="F13" s="6" t="s">
        <v>95</v>
      </c>
      <c r="G13" s="7" t="s">
        <v>399</v>
      </c>
      <c r="H13" s="7" t="s">
        <v>400</v>
      </c>
      <c r="I13" s="7" t="s">
        <v>546</v>
      </c>
      <c r="J13" s="5" t="s">
        <v>73</v>
      </c>
    </row>
    <row r="14" spans="1:10" ht="54" customHeight="1" x14ac:dyDescent="0.35">
      <c r="A14" s="5">
        <v>11</v>
      </c>
      <c r="B14" s="12">
        <v>46219</v>
      </c>
      <c r="C14" s="5" t="s">
        <v>77</v>
      </c>
      <c r="D14" s="5">
        <v>2</v>
      </c>
      <c r="E14" s="6" t="s">
        <v>96</v>
      </c>
      <c r="F14" s="6" t="s">
        <v>97</v>
      </c>
      <c r="G14" s="7" t="s">
        <v>401</v>
      </c>
      <c r="H14" s="7" t="s">
        <v>402</v>
      </c>
      <c r="I14" s="7" t="s">
        <v>547</v>
      </c>
      <c r="J14" s="5" t="s">
        <v>73</v>
      </c>
    </row>
    <row r="15" spans="1:10" ht="54" customHeight="1" x14ac:dyDescent="0.35">
      <c r="A15" s="5">
        <v>12</v>
      </c>
      <c r="B15" s="12">
        <v>46220</v>
      </c>
      <c r="C15" s="5" t="s">
        <v>80</v>
      </c>
      <c r="D15" s="5">
        <v>2</v>
      </c>
      <c r="E15" s="6" t="s">
        <v>98</v>
      </c>
      <c r="F15" s="6" t="s">
        <v>99</v>
      </c>
      <c r="G15" s="7" t="s">
        <v>403</v>
      </c>
      <c r="H15" s="7" t="s">
        <v>404</v>
      </c>
      <c r="I15" s="7" t="s">
        <v>548</v>
      </c>
      <c r="J15" s="5" t="s">
        <v>73</v>
      </c>
    </row>
    <row r="16" spans="1:10" ht="54" customHeight="1" x14ac:dyDescent="0.35">
      <c r="A16" s="5">
        <v>13</v>
      </c>
      <c r="B16" s="12">
        <v>46221</v>
      </c>
      <c r="C16" s="5" t="s">
        <v>83</v>
      </c>
      <c r="D16" s="5">
        <v>2</v>
      </c>
      <c r="E16" s="6" t="s">
        <v>100</v>
      </c>
      <c r="F16" s="6" t="s">
        <v>101</v>
      </c>
      <c r="G16" s="7" t="s">
        <v>405</v>
      </c>
      <c r="H16" s="7" t="s">
        <v>406</v>
      </c>
      <c r="I16" s="7" t="s">
        <v>549</v>
      </c>
      <c r="J16" s="5" t="s">
        <v>73</v>
      </c>
    </row>
    <row r="17" spans="1:10" ht="54" customHeight="1" x14ac:dyDescent="0.35">
      <c r="A17" s="13">
        <v>14</v>
      </c>
      <c r="B17" s="14">
        <v>46222</v>
      </c>
      <c r="C17" s="13" t="s">
        <v>86</v>
      </c>
      <c r="D17" s="13">
        <v>2</v>
      </c>
      <c r="E17" s="15" t="s">
        <v>102</v>
      </c>
      <c r="F17" s="15" t="s">
        <v>103</v>
      </c>
      <c r="G17" s="15" t="s">
        <v>407</v>
      </c>
      <c r="H17" s="15" t="s">
        <v>408</v>
      </c>
      <c r="I17" s="7" t="s">
        <v>550</v>
      </c>
      <c r="J17" s="13" t="s">
        <v>73</v>
      </c>
    </row>
    <row r="18" spans="1:10" ht="54" customHeight="1" x14ac:dyDescent="0.35">
      <c r="A18" s="5">
        <v>15</v>
      </c>
      <c r="B18" s="12">
        <v>46223</v>
      </c>
      <c r="C18" s="5" t="s">
        <v>89</v>
      </c>
      <c r="D18" s="5">
        <v>3</v>
      </c>
      <c r="E18" s="6" t="s">
        <v>104</v>
      </c>
      <c r="F18" s="6" t="s">
        <v>105</v>
      </c>
      <c r="G18" s="7" t="s">
        <v>409</v>
      </c>
      <c r="H18" s="7" t="s">
        <v>410</v>
      </c>
      <c r="I18" s="7" t="s">
        <v>551</v>
      </c>
      <c r="J18" s="5" t="s">
        <v>73</v>
      </c>
    </row>
    <row r="19" spans="1:10" ht="54" customHeight="1" x14ac:dyDescent="0.35">
      <c r="A19" s="5">
        <v>16</v>
      </c>
      <c r="B19" s="12">
        <v>46224</v>
      </c>
      <c r="C19" s="5" t="s">
        <v>70</v>
      </c>
      <c r="D19" s="5">
        <v>3</v>
      </c>
      <c r="E19" s="6" t="s">
        <v>106</v>
      </c>
      <c r="F19" s="6" t="s">
        <v>107</v>
      </c>
      <c r="G19" s="7" t="s">
        <v>411</v>
      </c>
      <c r="H19" s="7" t="s">
        <v>412</v>
      </c>
      <c r="I19" s="7" t="s">
        <v>552</v>
      </c>
      <c r="J19" s="5" t="s">
        <v>73</v>
      </c>
    </row>
    <row r="20" spans="1:10" ht="54" customHeight="1" x14ac:dyDescent="0.35">
      <c r="A20" s="5">
        <v>17</v>
      </c>
      <c r="B20" s="12">
        <v>46225</v>
      </c>
      <c r="C20" s="5" t="s">
        <v>74</v>
      </c>
      <c r="D20" s="5">
        <v>3</v>
      </c>
      <c r="E20" s="6" t="s">
        <v>108</v>
      </c>
      <c r="F20" s="6" t="s">
        <v>109</v>
      </c>
      <c r="G20" s="7" t="s">
        <v>413</v>
      </c>
      <c r="H20" s="7" t="s">
        <v>414</v>
      </c>
      <c r="I20" s="7" t="s">
        <v>553</v>
      </c>
      <c r="J20" s="5" t="s">
        <v>73</v>
      </c>
    </row>
    <row r="21" spans="1:10" ht="54" customHeight="1" x14ac:dyDescent="0.35">
      <c r="A21" s="5">
        <v>18</v>
      </c>
      <c r="B21" s="12">
        <v>46226</v>
      </c>
      <c r="C21" s="5" t="s">
        <v>77</v>
      </c>
      <c r="D21" s="5">
        <v>3</v>
      </c>
      <c r="E21" s="6" t="s">
        <v>110</v>
      </c>
      <c r="F21" s="6" t="s">
        <v>111</v>
      </c>
      <c r="G21" s="7" t="s">
        <v>415</v>
      </c>
      <c r="H21" s="7" t="s">
        <v>416</v>
      </c>
      <c r="I21" s="7" t="s">
        <v>554</v>
      </c>
      <c r="J21" s="5" t="s">
        <v>73</v>
      </c>
    </row>
    <row r="22" spans="1:10" ht="54" customHeight="1" x14ac:dyDescent="0.35">
      <c r="A22" s="5">
        <v>19</v>
      </c>
      <c r="B22" s="12">
        <v>46227</v>
      </c>
      <c r="C22" s="5" t="s">
        <v>80</v>
      </c>
      <c r="D22" s="5">
        <v>3</v>
      </c>
      <c r="E22" s="6" t="s">
        <v>112</v>
      </c>
      <c r="F22" s="6" t="s">
        <v>113</v>
      </c>
      <c r="G22" s="7" t="s">
        <v>417</v>
      </c>
      <c r="H22" s="7" t="s">
        <v>418</v>
      </c>
      <c r="I22" s="7" t="s">
        <v>555</v>
      </c>
      <c r="J22" s="5" t="s">
        <v>73</v>
      </c>
    </row>
    <row r="23" spans="1:10" ht="54" customHeight="1" x14ac:dyDescent="0.35">
      <c r="A23" s="5">
        <v>20</v>
      </c>
      <c r="B23" s="12">
        <v>46228</v>
      </c>
      <c r="C23" s="5" t="s">
        <v>83</v>
      </c>
      <c r="D23" s="5">
        <v>3</v>
      </c>
      <c r="E23" s="6" t="s">
        <v>114</v>
      </c>
      <c r="F23" s="6" t="s">
        <v>115</v>
      </c>
      <c r="G23" s="7" t="s">
        <v>419</v>
      </c>
      <c r="H23" s="7" t="s">
        <v>420</v>
      </c>
      <c r="I23" s="7" t="s">
        <v>556</v>
      </c>
      <c r="J23" s="5" t="s">
        <v>73</v>
      </c>
    </row>
    <row r="24" spans="1:10" ht="54" customHeight="1" x14ac:dyDescent="0.35">
      <c r="A24" s="13">
        <v>21</v>
      </c>
      <c r="B24" s="14">
        <v>46229</v>
      </c>
      <c r="C24" s="13" t="s">
        <v>86</v>
      </c>
      <c r="D24" s="13">
        <v>3</v>
      </c>
      <c r="E24" s="15" t="s">
        <v>116</v>
      </c>
      <c r="F24" s="15" t="s">
        <v>117</v>
      </c>
      <c r="G24" s="15" t="s">
        <v>421</v>
      </c>
      <c r="H24" s="15" t="s">
        <v>422</v>
      </c>
      <c r="I24" s="7" t="s">
        <v>557</v>
      </c>
      <c r="J24" s="13" t="s">
        <v>73</v>
      </c>
    </row>
    <row r="25" spans="1:10" ht="54" customHeight="1" x14ac:dyDescent="0.35">
      <c r="A25" s="5">
        <v>22</v>
      </c>
      <c r="B25" s="12">
        <v>46230</v>
      </c>
      <c r="C25" s="5" t="s">
        <v>89</v>
      </c>
      <c r="D25" s="5">
        <v>4</v>
      </c>
      <c r="E25" s="6" t="s">
        <v>118</v>
      </c>
      <c r="F25" s="6" t="s">
        <v>119</v>
      </c>
      <c r="G25" s="7" t="s">
        <v>423</v>
      </c>
      <c r="H25" s="7" t="s">
        <v>424</v>
      </c>
      <c r="I25" s="7" t="s">
        <v>558</v>
      </c>
      <c r="J25" s="5" t="s">
        <v>73</v>
      </c>
    </row>
    <row r="26" spans="1:10" ht="54" customHeight="1" x14ac:dyDescent="0.35">
      <c r="A26" s="5">
        <v>23</v>
      </c>
      <c r="B26" s="12">
        <v>46231</v>
      </c>
      <c r="C26" s="5" t="s">
        <v>70</v>
      </c>
      <c r="D26" s="5">
        <v>4</v>
      </c>
      <c r="E26" s="6" t="s">
        <v>120</v>
      </c>
      <c r="F26" s="6" t="s">
        <v>121</v>
      </c>
      <c r="G26" s="7" t="s">
        <v>425</v>
      </c>
      <c r="H26" s="7" t="s">
        <v>426</v>
      </c>
      <c r="I26" s="7" t="s">
        <v>559</v>
      </c>
      <c r="J26" s="5" t="s">
        <v>73</v>
      </c>
    </row>
    <row r="27" spans="1:10" ht="54" customHeight="1" x14ac:dyDescent="0.35">
      <c r="A27" s="5">
        <v>24</v>
      </c>
      <c r="B27" s="12">
        <v>46232</v>
      </c>
      <c r="C27" s="5" t="s">
        <v>74</v>
      </c>
      <c r="D27" s="5">
        <v>4</v>
      </c>
      <c r="E27" s="6" t="s">
        <v>122</v>
      </c>
      <c r="F27" s="6" t="s">
        <v>123</v>
      </c>
      <c r="G27" s="7" t="s">
        <v>427</v>
      </c>
      <c r="H27" s="7" t="s">
        <v>428</v>
      </c>
      <c r="I27" s="7" t="s">
        <v>560</v>
      </c>
      <c r="J27" s="5" t="s">
        <v>73</v>
      </c>
    </row>
    <row r="28" spans="1:10" ht="54" customHeight="1" x14ac:dyDescent="0.35">
      <c r="A28" s="5">
        <v>25</v>
      </c>
      <c r="B28" s="12">
        <v>46233</v>
      </c>
      <c r="C28" s="5" t="s">
        <v>77</v>
      </c>
      <c r="D28" s="5">
        <v>4</v>
      </c>
      <c r="E28" s="6" t="s">
        <v>124</v>
      </c>
      <c r="F28" s="6" t="s">
        <v>125</v>
      </c>
      <c r="G28" s="7" t="s">
        <v>429</v>
      </c>
      <c r="H28" s="7" t="s">
        <v>430</v>
      </c>
      <c r="I28" s="7" t="s">
        <v>561</v>
      </c>
      <c r="J28" s="5" t="s">
        <v>73</v>
      </c>
    </row>
    <row r="29" spans="1:10" ht="54" customHeight="1" x14ac:dyDescent="0.35">
      <c r="A29" s="5">
        <v>26</v>
      </c>
      <c r="B29" s="12">
        <v>46234</v>
      </c>
      <c r="C29" s="5" t="s">
        <v>80</v>
      </c>
      <c r="D29" s="5">
        <v>4</v>
      </c>
      <c r="E29" s="6" t="s">
        <v>126</v>
      </c>
      <c r="F29" s="6" t="s">
        <v>127</v>
      </c>
      <c r="G29" s="7" t="s">
        <v>431</v>
      </c>
      <c r="H29" s="7" t="s">
        <v>432</v>
      </c>
      <c r="I29" s="7" t="s">
        <v>562</v>
      </c>
      <c r="J29" s="5" t="s">
        <v>73</v>
      </c>
    </row>
    <row r="30" spans="1:10" ht="54" customHeight="1" x14ac:dyDescent="0.35">
      <c r="A30" s="5">
        <v>27</v>
      </c>
      <c r="B30" s="12">
        <v>46235</v>
      </c>
      <c r="C30" s="5" t="s">
        <v>83</v>
      </c>
      <c r="D30" s="5">
        <v>4</v>
      </c>
      <c r="E30" s="6" t="s">
        <v>128</v>
      </c>
      <c r="F30" s="6" t="s">
        <v>129</v>
      </c>
      <c r="G30" s="7" t="s">
        <v>433</v>
      </c>
      <c r="H30" s="7" t="s">
        <v>434</v>
      </c>
      <c r="I30" s="7" t="s">
        <v>563</v>
      </c>
      <c r="J30" s="5" t="s">
        <v>73</v>
      </c>
    </row>
    <row r="31" spans="1:10" ht="54" customHeight="1" x14ac:dyDescent="0.35">
      <c r="A31" s="13">
        <v>28</v>
      </c>
      <c r="B31" s="14">
        <v>46236</v>
      </c>
      <c r="C31" s="13" t="s">
        <v>86</v>
      </c>
      <c r="D31" s="13">
        <v>4</v>
      </c>
      <c r="E31" s="15" t="s">
        <v>130</v>
      </c>
      <c r="F31" s="15" t="s">
        <v>131</v>
      </c>
      <c r="G31" s="15" t="s">
        <v>130</v>
      </c>
      <c r="H31" s="15" t="s">
        <v>435</v>
      </c>
      <c r="I31" s="7" t="s">
        <v>564</v>
      </c>
      <c r="J31" s="13" t="s">
        <v>73</v>
      </c>
    </row>
    <row r="32" spans="1:10" ht="54" customHeight="1" x14ac:dyDescent="0.35">
      <c r="A32" s="5">
        <v>29</v>
      </c>
      <c r="B32" s="12">
        <v>46237</v>
      </c>
      <c r="C32" s="5" t="s">
        <v>89</v>
      </c>
      <c r="D32" s="5">
        <v>5</v>
      </c>
      <c r="E32" s="6" t="s">
        <v>132</v>
      </c>
      <c r="F32" s="6" t="s">
        <v>133</v>
      </c>
      <c r="G32" s="7" t="s">
        <v>436</v>
      </c>
      <c r="H32" s="7" t="s">
        <v>437</v>
      </c>
      <c r="I32" s="7" t="s">
        <v>565</v>
      </c>
      <c r="J32" s="5" t="s">
        <v>73</v>
      </c>
    </row>
    <row r="33" spans="1:10" ht="54" customHeight="1" x14ac:dyDescent="0.35">
      <c r="A33" s="5">
        <v>30</v>
      </c>
      <c r="B33" s="12">
        <v>46238</v>
      </c>
      <c r="C33" s="5" t="s">
        <v>70</v>
      </c>
      <c r="D33" s="5">
        <v>5</v>
      </c>
      <c r="E33" s="6" t="s">
        <v>134</v>
      </c>
      <c r="F33" s="6" t="s">
        <v>135</v>
      </c>
      <c r="G33" s="7" t="s">
        <v>438</v>
      </c>
      <c r="H33" s="7" t="s">
        <v>439</v>
      </c>
      <c r="I33" s="7" t="s">
        <v>566</v>
      </c>
      <c r="J33" s="5" t="s">
        <v>73</v>
      </c>
    </row>
    <row r="34" spans="1:10" ht="54" customHeight="1" x14ac:dyDescent="0.35">
      <c r="A34" s="5">
        <v>31</v>
      </c>
      <c r="B34" s="12">
        <v>46239</v>
      </c>
      <c r="C34" s="5" t="s">
        <v>74</v>
      </c>
      <c r="D34" s="5">
        <v>5</v>
      </c>
      <c r="E34" s="6" t="s">
        <v>136</v>
      </c>
      <c r="F34" s="6" t="s">
        <v>137</v>
      </c>
      <c r="G34" s="7" t="s">
        <v>440</v>
      </c>
      <c r="H34" s="7" t="s">
        <v>441</v>
      </c>
      <c r="I34" s="7" t="s">
        <v>567</v>
      </c>
      <c r="J34" s="5" t="s">
        <v>73</v>
      </c>
    </row>
    <row r="35" spans="1:10" ht="54" customHeight="1" x14ac:dyDescent="0.35">
      <c r="A35" s="5">
        <v>32</v>
      </c>
      <c r="B35" s="12">
        <v>46240</v>
      </c>
      <c r="C35" s="5" t="s">
        <v>77</v>
      </c>
      <c r="D35" s="5">
        <v>5</v>
      </c>
      <c r="E35" s="6" t="s">
        <v>138</v>
      </c>
      <c r="F35" s="6" t="s">
        <v>139</v>
      </c>
      <c r="G35" s="7" t="s">
        <v>442</v>
      </c>
      <c r="H35" s="7" t="s">
        <v>443</v>
      </c>
      <c r="I35" s="7" t="s">
        <v>568</v>
      </c>
      <c r="J35" s="5" t="s">
        <v>73</v>
      </c>
    </row>
    <row r="36" spans="1:10" ht="54" customHeight="1" x14ac:dyDescent="0.35">
      <c r="A36" s="5">
        <v>33</v>
      </c>
      <c r="B36" s="12">
        <v>46241</v>
      </c>
      <c r="C36" s="5" t="s">
        <v>80</v>
      </c>
      <c r="D36" s="5">
        <v>5</v>
      </c>
      <c r="E36" s="6" t="s">
        <v>140</v>
      </c>
      <c r="F36" s="6" t="s">
        <v>141</v>
      </c>
      <c r="G36" s="7" t="s">
        <v>444</v>
      </c>
      <c r="H36" s="7" t="s">
        <v>445</v>
      </c>
      <c r="I36" s="7" t="s">
        <v>569</v>
      </c>
      <c r="J36" s="5" t="s">
        <v>73</v>
      </c>
    </row>
    <row r="37" spans="1:10" ht="54" customHeight="1" x14ac:dyDescent="0.35">
      <c r="A37" s="5">
        <v>34</v>
      </c>
      <c r="B37" s="12">
        <v>46242</v>
      </c>
      <c r="C37" s="5" t="s">
        <v>83</v>
      </c>
      <c r="D37" s="5">
        <v>5</v>
      </c>
      <c r="E37" s="6" t="s">
        <v>142</v>
      </c>
      <c r="F37" s="6" t="s">
        <v>143</v>
      </c>
      <c r="G37" s="7" t="s">
        <v>446</v>
      </c>
      <c r="H37" s="7" t="s">
        <v>447</v>
      </c>
      <c r="I37" s="7" t="s">
        <v>570</v>
      </c>
      <c r="J37" s="5" t="s">
        <v>73</v>
      </c>
    </row>
    <row r="38" spans="1:10" ht="54" customHeight="1" x14ac:dyDescent="0.35">
      <c r="A38" s="13">
        <v>35</v>
      </c>
      <c r="B38" s="14">
        <v>46243</v>
      </c>
      <c r="C38" s="13" t="s">
        <v>86</v>
      </c>
      <c r="D38" s="13">
        <v>5</v>
      </c>
      <c r="E38" s="15" t="s">
        <v>144</v>
      </c>
      <c r="F38" s="15" t="s">
        <v>145</v>
      </c>
      <c r="G38" s="15" t="s">
        <v>448</v>
      </c>
      <c r="H38" s="15" t="s">
        <v>449</v>
      </c>
      <c r="I38" s="7" t="s">
        <v>571</v>
      </c>
      <c r="J38" s="13" t="s">
        <v>73</v>
      </c>
    </row>
    <row r="39" spans="1:10" ht="54" customHeight="1" x14ac:dyDescent="0.35">
      <c r="A39" s="5">
        <v>36</v>
      </c>
      <c r="B39" s="12">
        <v>46244</v>
      </c>
      <c r="C39" s="5" t="s">
        <v>89</v>
      </c>
      <c r="D39" s="5">
        <v>6</v>
      </c>
      <c r="E39" s="6" t="s">
        <v>146</v>
      </c>
      <c r="F39" s="6" t="s">
        <v>147</v>
      </c>
      <c r="G39" s="7" t="s">
        <v>450</v>
      </c>
      <c r="H39" s="7" t="s">
        <v>451</v>
      </c>
      <c r="I39" s="7" t="s">
        <v>572</v>
      </c>
      <c r="J39" s="5" t="s">
        <v>73</v>
      </c>
    </row>
    <row r="40" spans="1:10" ht="54" customHeight="1" x14ac:dyDescent="0.35">
      <c r="A40" s="5">
        <v>37</v>
      </c>
      <c r="B40" s="12">
        <v>46245</v>
      </c>
      <c r="C40" s="5" t="s">
        <v>70</v>
      </c>
      <c r="D40" s="5">
        <v>6</v>
      </c>
      <c r="E40" s="6" t="s">
        <v>148</v>
      </c>
      <c r="F40" s="6" t="s">
        <v>149</v>
      </c>
      <c r="G40" s="7" t="s">
        <v>452</v>
      </c>
      <c r="H40" s="7" t="s">
        <v>453</v>
      </c>
      <c r="I40" s="7" t="s">
        <v>573</v>
      </c>
      <c r="J40" s="5" t="s">
        <v>73</v>
      </c>
    </row>
    <row r="41" spans="1:10" ht="54" customHeight="1" x14ac:dyDescent="0.35">
      <c r="A41" s="5">
        <v>38</v>
      </c>
      <c r="B41" s="12">
        <v>46246</v>
      </c>
      <c r="C41" s="5" t="s">
        <v>74</v>
      </c>
      <c r="D41" s="5">
        <v>6</v>
      </c>
      <c r="E41" s="6" t="s">
        <v>150</v>
      </c>
      <c r="F41" s="6" t="s">
        <v>151</v>
      </c>
      <c r="G41" s="7" t="s">
        <v>454</v>
      </c>
      <c r="H41" s="7" t="s">
        <v>455</v>
      </c>
      <c r="I41" s="7" t="s">
        <v>574</v>
      </c>
      <c r="J41" s="5" t="s">
        <v>73</v>
      </c>
    </row>
    <row r="42" spans="1:10" ht="54" customHeight="1" x14ac:dyDescent="0.35">
      <c r="A42" s="5">
        <v>39</v>
      </c>
      <c r="B42" s="12">
        <v>46247</v>
      </c>
      <c r="C42" s="5" t="s">
        <v>77</v>
      </c>
      <c r="D42" s="5">
        <v>6</v>
      </c>
      <c r="E42" s="6" t="s">
        <v>152</v>
      </c>
      <c r="F42" s="6" t="s">
        <v>153</v>
      </c>
      <c r="G42" s="7" t="s">
        <v>456</v>
      </c>
      <c r="H42" s="7" t="s">
        <v>457</v>
      </c>
      <c r="I42" s="7" t="s">
        <v>575</v>
      </c>
      <c r="J42" s="5" t="s">
        <v>73</v>
      </c>
    </row>
    <row r="43" spans="1:10" ht="54" customHeight="1" x14ac:dyDescent="0.35">
      <c r="A43" s="5">
        <v>40</v>
      </c>
      <c r="B43" s="12">
        <v>46248</v>
      </c>
      <c r="C43" s="5" t="s">
        <v>80</v>
      </c>
      <c r="D43" s="5">
        <v>6</v>
      </c>
      <c r="E43" s="6" t="s">
        <v>154</v>
      </c>
      <c r="F43" s="6" t="s">
        <v>155</v>
      </c>
      <c r="G43" s="7" t="s">
        <v>458</v>
      </c>
      <c r="H43" s="7" t="s">
        <v>459</v>
      </c>
      <c r="I43" s="7" t="s">
        <v>576</v>
      </c>
      <c r="J43" s="5" t="s">
        <v>73</v>
      </c>
    </row>
    <row r="44" spans="1:10" ht="54" customHeight="1" x14ac:dyDescent="0.35">
      <c r="A44" s="5">
        <v>41</v>
      </c>
      <c r="B44" s="12">
        <v>46249</v>
      </c>
      <c r="C44" s="5" t="s">
        <v>83</v>
      </c>
      <c r="D44" s="5">
        <v>6</v>
      </c>
      <c r="E44" s="6" t="s">
        <v>156</v>
      </c>
      <c r="F44" s="6" t="s">
        <v>157</v>
      </c>
      <c r="G44" s="7" t="s">
        <v>460</v>
      </c>
      <c r="H44" s="7" t="s">
        <v>461</v>
      </c>
      <c r="I44" s="7" t="s">
        <v>577</v>
      </c>
      <c r="J44" s="5" t="s">
        <v>73</v>
      </c>
    </row>
    <row r="45" spans="1:10" ht="54" customHeight="1" x14ac:dyDescent="0.35">
      <c r="A45" s="13">
        <v>42</v>
      </c>
      <c r="B45" s="14">
        <v>46250</v>
      </c>
      <c r="C45" s="13" t="s">
        <v>86</v>
      </c>
      <c r="D45" s="13">
        <v>6</v>
      </c>
      <c r="E45" s="15" t="s">
        <v>158</v>
      </c>
      <c r="F45" s="15" t="s">
        <v>159</v>
      </c>
      <c r="G45" s="15" t="s">
        <v>158</v>
      </c>
      <c r="H45" s="15" t="s">
        <v>462</v>
      </c>
      <c r="I45" s="7" t="s">
        <v>578</v>
      </c>
      <c r="J45" s="13" t="s">
        <v>73</v>
      </c>
    </row>
    <row r="46" spans="1:10" ht="54" customHeight="1" x14ac:dyDescent="0.35">
      <c r="A46" s="5">
        <v>43</v>
      </c>
      <c r="B46" s="12">
        <v>46251</v>
      </c>
      <c r="C46" s="5" t="s">
        <v>89</v>
      </c>
      <c r="D46" s="5">
        <v>7</v>
      </c>
      <c r="E46" s="6" t="s">
        <v>160</v>
      </c>
      <c r="F46" s="6" t="s">
        <v>161</v>
      </c>
      <c r="G46" s="9" t="s">
        <v>463</v>
      </c>
      <c r="H46" s="9" t="s">
        <v>464</v>
      </c>
      <c r="I46" s="7" t="s">
        <v>579</v>
      </c>
      <c r="J46" s="5" t="s">
        <v>73</v>
      </c>
    </row>
    <row r="47" spans="1:10" ht="54" customHeight="1" x14ac:dyDescent="0.35">
      <c r="A47" s="5">
        <v>44</v>
      </c>
      <c r="B47" s="12">
        <v>46252</v>
      </c>
      <c r="C47" s="5" t="s">
        <v>70</v>
      </c>
      <c r="D47" s="5">
        <v>7</v>
      </c>
      <c r="E47" s="6" t="s">
        <v>162</v>
      </c>
      <c r="F47" s="6" t="s">
        <v>163</v>
      </c>
      <c r="G47" s="9" t="s">
        <v>465</v>
      </c>
      <c r="H47" s="9" t="s">
        <v>466</v>
      </c>
      <c r="I47" s="7" t="s">
        <v>580</v>
      </c>
      <c r="J47" s="5" t="s">
        <v>73</v>
      </c>
    </row>
    <row r="48" spans="1:10" ht="54" customHeight="1" x14ac:dyDescent="0.35">
      <c r="A48" s="5">
        <v>45</v>
      </c>
      <c r="B48" s="12">
        <v>46253</v>
      </c>
      <c r="C48" s="5" t="s">
        <v>74</v>
      </c>
      <c r="D48" s="5">
        <v>7</v>
      </c>
      <c r="E48" s="6" t="s">
        <v>164</v>
      </c>
      <c r="F48" s="6" t="s">
        <v>165</v>
      </c>
      <c r="G48" s="9" t="s">
        <v>467</v>
      </c>
      <c r="H48" s="9" t="s">
        <v>468</v>
      </c>
      <c r="I48" s="7" t="s">
        <v>581</v>
      </c>
      <c r="J48" s="5" t="s">
        <v>73</v>
      </c>
    </row>
    <row r="49" spans="1:10" ht="54" customHeight="1" x14ac:dyDescent="0.35">
      <c r="A49" s="5">
        <v>46</v>
      </c>
      <c r="B49" s="12">
        <v>46254</v>
      </c>
      <c r="C49" s="5" t="s">
        <v>77</v>
      </c>
      <c r="D49" s="5">
        <v>7</v>
      </c>
      <c r="E49" s="6" t="s">
        <v>166</v>
      </c>
      <c r="F49" s="6" t="s">
        <v>167</v>
      </c>
      <c r="G49" s="9" t="s">
        <v>469</v>
      </c>
      <c r="H49" s="9" t="s">
        <v>470</v>
      </c>
      <c r="I49" s="7" t="s">
        <v>582</v>
      </c>
      <c r="J49" s="5" t="s">
        <v>73</v>
      </c>
    </row>
    <row r="50" spans="1:10" ht="54" customHeight="1" x14ac:dyDescent="0.35">
      <c r="A50" s="5">
        <v>47</v>
      </c>
      <c r="B50" s="12">
        <v>46255</v>
      </c>
      <c r="C50" s="5" t="s">
        <v>80</v>
      </c>
      <c r="D50" s="5">
        <v>7</v>
      </c>
      <c r="E50" s="6" t="s">
        <v>168</v>
      </c>
      <c r="F50" s="6" t="s">
        <v>169</v>
      </c>
      <c r="G50" s="9" t="s">
        <v>471</v>
      </c>
      <c r="H50" s="9" t="s">
        <v>472</v>
      </c>
      <c r="I50" s="7" t="s">
        <v>583</v>
      </c>
      <c r="J50" s="5" t="s">
        <v>73</v>
      </c>
    </row>
    <row r="51" spans="1:10" ht="54" customHeight="1" x14ac:dyDescent="0.35">
      <c r="A51" s="16">
        <v>48</v>
      </c>
      <c r="B51" s="17">
        <v>46256</v>
      </c>
      <c r="C51" s="16" t="s">
        <v>83</v>
      </c>
      <c r="D51" s="16">
        <v>7</v>
      </c>
      <c r="E51" s="18" t="s">
        <v>170</v>
      </c>
      <c r="F51" s="18" t="s">
        <v>171</v>
      </c>
      <c r="G51" s="18" t="s">
        <v>473</v>
      </c>
      <c r="H51" s="18" t="s">
        <v>474</v>
      </c>
      <c r="I51" s="7" t="s">
        <v>584</v>
      </c>
      <c r="J51" s="16" t="s">
        <v>73</v>
      </c>
    </row>
    <row r="52" spans="1:10" ht="54" customHeight="1" x14ac:dyDescent="0.35">
      <c r="A52" s="13">
        <v>49</v>
      </c>
      <c r="B52" s="14">
        <v>46257</v>
      </c>
      <c r="C52" s="13" t="s">
        <v>86</v>
      </c>
      <c r="D52" s="13">
        <v>7</v>
      </c>
      <c r="E52" s="15" t="s">
        <v>172</v>
      </c>
      <c r="F52" s="15" t="s">
        <v>173</v>
      </c>
      <c r="G52" s="15" t="s">
        <v>475</v>
      </c>
      <c r="H52" s="15" t="s">
        <v>476</v>
      </c>
      <c r="I52" s="7" t="s">
        <v>585</v>
      </c>
      <c r="J52" s="13" t="s">
        <v>73</v>
      </c>
    </row>
    <row r="53" spans="1:10" ht="54" customHeight="1" x14ac:dyDescent="0.35">
      <c r="A53" s="5">
        <v>50</v>
      </c>
      <c r="B53" s="12">
        <v>46258</v>
      </c>
      <c r="C53" s="5" t="s">
        <v>89</v>
      </c>
      <c r="D53" s="5">
        <v>8</v>
      </c>
      <c r="E53" s="6" t="s">
        <v>174</v>
      </c>
      <c r="F53" s="6" t="s">
        <v>175</v>
      </c>
      <c r="G53" s="9" t="s">
        <v>477</v>
      </c>
      <c r="H53" s="9" t="s">
        <v>478</v>
      </c>
      <c r="I53" s="7" t="s">
        <v>586</v>
      </c>
      <c r="J53" s="5" t="s">
        <v>73</v>
      </c>
    </row>
    <row r="54" spans="1:10" ht="54" customHeight="1" x14ac:dyDescent="0.35">
      <c r="A54" s="5">
        <v>51</v>
      </c>
      <c r="B54" s="12">
        <v>46259</v>
      </c>
      <c r="C54" s="5" t="s">
        <v>70</v>
      </c>
      <c r="D54" s="5">
        <v>8</v>
      </c>
      <c r="E54" s="6" t="s">
        <v>176</v>
      </c>
      <c r="F54" s="6" t="s">
        <v>177</v>
      </c>
      <c r="G54" s="9" t="s">
        <v>479</v>
      </c>
      <c r="H54" s="9" t="s">
        <v>480</v>
      </c>
      <c r="I54" s="7" t="s">
        <v>587</v>
      </c>
      <c r="J54" s="5" t="s">
        <v>73</v>
      </c>
    </row>
    <row r="55" spans="1:10" ht="54" customHeight="1" x14ac:dyDescent="0.35">
      <c r="A55" s="5">
        <v>52</v>
      </c>
      <c r="B55" s="12">
        <v>46260</v>
      </c>
      <c r="C55" s="5" t="s">
        <v>74</v>
      </c>
      <c r="D55" s="5">
        <v>8</v>
      </c>
      <c r="E55" s="6" t="s">
        <v>178</v>
      </c>
      <c r="F55" s="6" t="s">
        <v>179</v>
      </c>
      <c r="G55" s="9" t="s">
        <v>481</v>
      </c>
      <c r="H55" s="9" t="s">
        <v>482</v>
      </c>
      <c r="I55" s="7" t="s">
        <v>588</v>
      </c>
      <c r="J55" s="5" t="s">
        <v>73</v>
      </c>
    </row>
    <row r="56" spans="1:10" ht="54" customHeight="1" x14ac:dyDescent="0.35">
      <c r="A56" s="5">
        <v>53</v>
      </c>
      <c r="B56" s="12">
        <v>46261</v>
      </c>
      <c r="C56" s="5" t="s">
        <v>77</v>
      </c>
      <c r="D56" s="5">
        <v>8</v>
      </c>
      <c r="E56" s="6" t="s">
        <v>180</v>
      </c>
      <c r="F56" s="6" t="s">
        <v>181</v>
      </c>
      <c r="G56" s="9" t="s">
        <v>483</v>
      </c>
      <c r="H56" s="9" t="s">
        <v>484</v>
      </c>
      <c r="I56" s="7" t="s">
        <v>589</v>
      </c>
      <c r="J56" s="5" t="s">
        <v>73</v>
      </c>
    </row>
    <row r="57" spans="1:10" ht="54" customHeight="1" x14ac:dyDescent="0.35">
      <c r="A57" s="5">
        <v>54</v>
      </c>
      <c r="B57" s="12">
        <v>46262</v>
      </c>
      <c r="C57" s="5" t="s">
        <v>80</v>
      </c>
      <c r="D57" s="5">
        <v>8</v>
      </c>
      <c r="E57" s="6" t="s">
        <v>182</v>
      </c>
      <c r="F57" s="6" t="s">
        <v>183</v>
      </c>
      <c r="G57" s="9" t="s">
        <v>485</v>
      </c>
      <c r="H57" s="9" t="s">
        <v>486</v>
      </c>
      <c r="I57" s="7" t="s">
        <v>590</v>
      </c>
      <c r="J57" s="5" t="s">
        <v>73</v>
      </c>
    </row>
    <row r="58" spans="1:10" ht="54" customHeight="1" x14ac:dyDescent="0.35">
      <c r="A58" s="16">
        <v>55</v>
      </c>
      <c r="B58" s="17">
        <v>46263</v>
      </c>
      <c r="C58" s="16" t="s">
        <v>83</v>
      </c>
      <c r="D58" s="16">
        <v>8</v>
      </c>
      <c r="E58" s="18" t="s">
        <v>184</v>
      </c>
      <c r="F58" s="18" t="s">
        <v>185</v>
      </c>
      <c r="G58" s="18" t="s">
        <v>487</v>
      </c>
      <c r="H58" s="18" t="s">
        <v>488</v>
      </c>
      <c r="I58" s="7" t="s">
        <v>591</v>
      </c>
      <c r="J58" s="16" t="s">
        <v>73</v>
      </c>
    </row>
    <row r="59" spans="1:10" ht="54" customHeight="1" x14ac:dyDescent="0.35">
      <c r="A59" s="13">
        <v>56</v>
      </c>
      <c r="B59" s="14">
        <v>46264</v>
      </c>
      <c r="C59" s="13" t="s">
        <v>86</v>
      </c>
      <c r="D59" s="13">
        <v>8</v>
      </c>
      <c r="E59" s="15" t="s">
        <v>186</v>
      </c>
      <c r="F59" s="15" t="s">
        <v>187</v>
      </c>
      <c r="G59" s="15" t="s">
        <v>489</v>
      </c>
      <c r="H59" s="15" t="s">
        <v>490</v>
      </c>
      <c r="I59" s="7" t="s">
        <v>592</v>
      </c>
      <c r="J59" s="13" t="s">
        <v>73</v>
      </c>
    </row>
    <row r="60" spans="1:10" ht="54" customHeight="1" x14ac:dyDescent="0.35">
      <c r="A60" s="5">
        <v>57</v>
      </c>
      <c r="B60" s="12">
        <v>46265</v>
      </c>
      <c r="C60" s="5" t="s">
        <v>89</v>
      </c>
      <c r="D60" s="5">
        <v>9</v>
      </c>
      <c r="E60" s="6" t="s">
        <v>188</v>
      </c>
      <c r="F60" s="6" t="s">
        <v>189</v>
      </c>
      <c r="G60" s="9" t="s">
        <v>491</v>
      </c>
      <c r="H60" s="9" t="s">
        <v>492</v>
      </c>
      <c r="I60" s="7" t="s">
        <v>593</v>
      </c>
      <c r="J60" s="5" t="s">
        <v>73</v>
      </c>
    </row>
    <row r="61" spans="1:10" ht="54" customHeight="1" x14ac:dyDescent="0.35">
      <c r="A61" s="5">
        <v>58</v>
      </c>
      <c r="B61" s="12">
        <v>46266</v>
      </c>
      <c r="C61" s="5" t="s">
        <v>70</v>
      </c>
      <c r="D61" s="5">
        <v>9</v>
      </c>
      <c r="E61" s="6" t="s">
        <v>190</v>
      </c>
      <c r="F61" s="6" t="s">
        <v>191</v>
      </c>
      <c r="G61" s="9" t="s">
        <v>493</v>
      </c>
      <c r="H61" s="9" t="s">
        <v>494</v>
      </c>
      <c r="I61" s="7" t="s">
        <v>594</v>
      </c>
      <c r="J61" s="5" t="s">
        <v>73</v>
      </c>
    </row>
    <row r="62" spans="1:10" ht="54" customHeight="1" x14ac:dyDescent="0.35">
      <c r="A62" s="5">
        <v>59</v>
      </c>
      <c r="B62" s="12">
        <v>46267</v>
      </c>
      <c r="C62" s="5" t="s">
        <v>74</v>
      </c>
      <c r="D62" s="5">
        <v>9</v>
      </c>
      <c r="E62" s="6" t="s">
        <v>192</v>
      </c>
      <c r="F62" s="6" t="s">
        <v>193</v>
      </c>
      <c r="G62" s="9" t="s">
        <v>495</v>
      </c>
      <c r="H62" s="9" t="s">
        <v>496</v>
      </c>
      <c r="I62" s="7" t="s">
        <v>595</v>
      </c>
      <c r="J62" s="5" t="s">
        <v>73</v>
      </c>
    </row>
    <row r="63" spans="1:10" ht="54" customHeight="1" x14ac:dyDescent="0.35">
      <c r="A63" s="5">
        <v>60</v>
      </c>
      <c r="B63" s="12">
        <v>46268</v>
      </c>
      <c r="C63" s="5" t="s">
        <v>77</v>
      </c>
      <c r="D63" s="5">
        <v>9</v>
      </c>
      <c r="E63" s="6" t="s">
        <v>194</v>
      </c>
      <c r="F63" s="6" t="s">
        <v>195</v>
      </c>
      <c r="G63" s="9" t="s">
        <v>497</v>
      </c>
      <c r="H63" s="9" t="s">
        <v>498</v>
      </c>
      <c r="I63" s="7" t="s">
        <v>596</v>
      </c>
      <c r="J63" s="5" t="s">
        <v>73</v>
      </c>
    </row>
    <row r="64" spans="1:10" ht="54" customHeight="1" x14ac:dyDescent="0.35">
      <c r="A64" s="5">
        <v>61</v>
      </c>
      <c r="B64" s="12">
        <v>46269</v>
      </c>
      <c r="C64" s="5" t="s">
        <v>80</v>
      </c>
      <c r="D64" s="5">
        <v>9</v>
      </c>
      <c r="E64" s="6" t="s">
        <v>196</v>
      </c>
      <c r="F64" s="6" t="s">
        <v>197</v>
      </c>
      <c r="G64" s="9" t="s">
        <v>499</v>
      </c>
      <c r="H64" s="9" t="s">
        <v>500</v>
      </c>
      <c r="I64" s="7" t="s">
        <v>597</v>
      </c>
      <c r="J64" s="5" t="s">
        <v>73</v>
      </c>
    </row>
    <row r="65" spans="1:10" ht="54" customHeight="1" x14ac:dyDescent="0.35">
      <c r="A65" s="16">
        <v>62</v>
      </c>
      <c r="B65" s="17">
        <v>46270</v>
      </c>
      <c r="C65" s="16" t="s">
        <v>83</v>
      </c>
      <c r="D65" s="16">
        <v>9</v>
      </c>
      <c r="E65" s="18" t="s">
        <v>198</v>
      </c>
      <c r="F65" s="18" t="s">
        <v>199</v>
      </c>
      <c r="G65" s="18" t="s">
        <v>501</v>
      </c>
      <c r="H65" s="18" t="s">
        <v>502</v>
      </c>
      <c r="I65" s="7" t="s">
        <v>598</v>
      </c>
      <c r="J65" s="16" t="s">
        <v>73</v>
      </c>
    </row>
    <row r="66" spans="1:10" ht="54" customHeight="1" x14ac:dyDescent="0.35">
      <c r="A66" s="13">
        <v>63</v>
      </c>
      <c r="B66" s="14">
        <v>46271</v>
      </c>
      <c r="C66" s="13" t="s">
        <v>86</v>
      </c>
      <c r="D66" s="13">
        <v>9</v>
      </c>
      <c r="E66" s="15" t="s">
        <v>200</v>
      </c>
      <c r="F66" s="15" t="s">
        <v>201</v>
      </c>
      <c r="G66" s="15" t="s">
        <v>200</v>
      </c>
      <c r="H66" s="15" t="s">
        <v>503</v>
      </c>
      <c r="I66" s="7" t="s">
        <v>599</v>
      </c>
      <c r="J66" s="13" t="s">
        <v>73</v>
      </c>
    </row>
    <row r="67" spans="1:10" ht="54" customHeight="1" x14ac:dyDescent="0.35">
      <c r="A67" s="5">
        <v>64</v>
      </c>
      <c r="B67" s="12">
        <v>46272</v>
      </c>
      <c r="C67" s="5" t="s">
        <v>89</v>
      </c>
      <c r="D67" s="5">
        <v>10</v>
      </c>
      <c r="E67" s="6" t="s">
        <v>202</v>
      </c>
      <c r="F67" s="6" t="s">
        <v>203</v>
      </c>
      <c r="G67" s="9" t="s">
        <v>504</v>
      </c>
      <c r="H67" s="9" t="s">
        <v>505</v>
      </c>
      <c r="I67" s="7" t="s">
        <v>600</v>
      </c>
      <c r="J67" s="5" t="s">
        <v>73</v>
      </c>
    </row>
    <row r="68" spans="1:10" ht="54" customHeight="1" x14ac:dyDescent="0.35">
      <c r="A68" s="5">
        <v>65</v>
      </c>
      <c r="B68" s="12">
        <v>46273</v>
      </c>
      <c r="C68" s="5" t="s">
        <v>70</v>
      </c>
      <c r="D68" s="5">
        <v>10</v>
      </c>
      <c r="E68" s="6" t="s">
        <v>204</v>
      </c>
      <c r="F68" s="6" t="s">
        <v>205</v>
      </c>
      <c r="G68" s="9" t="s">
        <v>506</v>
      </c>
      <c r="H68" s="9" t="s">
        <v>507</v>
      </c>
      <c r="I68" s="7" t="s">
        <v>601</v>
      </c>
      <c r="J68" s="5" t="s">
        <v>73</v>
      </c>
    </row>
    <row r="69" spans="1:10" ht="54" customHeight="1" x14ac:dyDescent="0.35">
      <c r="A69" s="5">
        <v>66</v>
      </c>
      <c r="B69" s="12">
        <v>46274</v>
      </c>
      <c r="C69" s="5" t="s">
        <v>74</v>
      </c>
      <c r="D69" s="5">
        <v>10</v>
      </c>
      <c r="E69" s="6" t="s">
        <v>206</v>
      </c>
      <c r="F69" s="6" t="s">
        <v>207</v>
      </c>
      <c r="G69" s="9" t="s">
        <v>508</v>
      </c>
      <c r="H69" s="9" t="s">
        <v>509</v>
      </c>
      <c r="I69" s="7" t="s">
        <v>602</v>
      </c>
      <c r="J69" s="5" t="s">
        <v>73</v>
      </c>
    </row>
    <row r="70" spans="1:10" ht="54" customHeight="1" x14ac:dyDescent="0.35">
      <c r="A70" s="5">
        <v>67</v>
      </c>
      <c r="B70" s="12">
        <v>46275</v>
      </c>
      <c r="C70" s="5" t="s">
        <v>77</v>
      </c>
      <c r="D70" s="5">
        <v>10</v>
      </c>
      <c r="E70" s="6" t="s">
        <v>208</v>
      </c>
      <c r="F70" s="6" t="s">
        <v>209</v>
      </c>
      <c r="G70" s="9" t="s">
        <v>510</v>
      </c>
      <c r="H70" s="9" t="s">
        <v>511</v>
      </c>
      <c r="I70" s="7" t="s">
        <v>603</v>
      </c>
      <c r="J70" s="5" t="s">
        <v>73</v>
      </c>
    </row>
    <row r="71" spans="1:10" ht="54" customHeight="1" x14ac:dyDescent="0.35">
      <c r="A71" s="5">
        <v>68</v>
      </c>
      <c r="B71" s="12">
        <v>46276</v>
      </c>
      <c r="C71" s="5" t="s">
        <v>80</v>
      </c>
      <c r="D71" s="5">
        <v>10</v>
      </c>
      <c r="E71" s="6" t="s">
        <v>211</v>
      </c>
      <c r="F71" s="6" t="s">
        <v>212</v>
      </c>
      <c r="G71" s="9" t="s">
        <v>512</v>
      </c>
      <c r="H71" s="9" t="s">
        <v>210</v>
      </c>
      <c r="I71" s="7" t="s">
        <v>604</v>
      </c>
      <c r="J71" s="5" t="s">
        <v>73</v>
      </c>
    </row>
    <row r="72" spans="1:10" ht="54" customHeight="1" x14ac:dyDescent="0.35">
      <c r="A72" s="16">
        <v>69</v>
      </c>
      <c r="B72" s="17">
        <v>46277</v>
      </c>
      <c r="C72" s="16" t="s">
        <v>83</v>
      </c>
      <c r="D72" s="16">
        <v>10</v>
      </c>
      <c r="E72" s="18" t="s">
        <v>213</v>
      </c>
      <c r="F72" s="18" t="s">
        <v>199</v>
      </c>
      <c r="G72" s="18" t="s">
        <v>513</v>
      </c>
      <c r="H72" s="18" t="s">
        <v>514</v>
      </c>
      <c r="I72" s="7" t="s">
        <v>605</v>
      </c>
      <c r="J72" s="16" t="s">
        <v>73</v>
      </c>
    </row>
    <row r="73" spans="1:10" ht="54" customHeight="1" x14ac:dyDescent="0.35">
      <c r="A73" s="16">
        <v>70</v>
      </c>
      <c r="B73" s="17">
        <v>46278</v>
      </c>
      <c r="C73" s="16" t="s">
        <v>86</v>
      </c>
      <c r="D73" s="16">
        <v>10</v>
      </c>
      <c r="E73" s="18" t="s">
        <v>214</v>
      </c>
      <c r="F73" s="18" t="s">
        <v>215</v>
      </c>
      <c r="G73" s="18" t="s">
        <v>515</v>
      </c>
      <c r="H73" s="18" t="s">
        <v>216</v>
      </c>
      <c r="I73" s="7" t="s">
        <v>606</v>
      </c>
      <c r="J73" s="16" t="s">
        <v>73</v>
      </c>
    </row>
    <row r="74" spans="1:10" ht="54" customHeight="1" x14ac:dyDescent="0.35">
      <c r="A74" s="5">
        <v>71</v>
      </c>
      <c r="B74" s="12">
        <v>46279</v>
      </c>
      <c r="C74" s="5" t="s">
        <v>89</v>
      </c>
      <c r="D74" s="5">
        <v>11</v>
      </c>
      <c r="E74" s="6" t="s">
        <v>217</v>
      </c>
      <c r="F74" s="6" t="s">
        <v>218</v>
      </c>
      <c r="G74" s="7" t="s">
        <v>516</v>
      </c>
      <c r="H74" s="7" t="s">
        <v>517</v>
      </c>
      <c r="I74" s="7" t="s">
        <v>607</v>
      </c>
      <c r="J74" s="5" t="s">
        <v>73</v>
      </c>
    </row>
    <row r="75" spans="1:10" ht="54" customHeight="1" x14ac:dyDescent="0.35">
      <c r="A75" s="5">
        <v>72</v>
      </c>
      <c r="B75" s="12">
        <v>46280</v>
      </c>
      <c r="C75" s="5" t="s">
        <v>70</v>
      </c>
      <c r="D75" s="5">
        <v>11</v>
      </c>
      <c r="E75" s="6" t="s">
        <v>219</v>
      </c>
      <c r="F75" s="6" t="s">
        <v>220</v>
      </c>
      <c r="G75" s="7" t="s">
        <v>518</v>
      </c>
      <c r="H75" s="7" t="s">
        <v>519</v>
      </c>
      <c r="I75" s="7" t="s">
        <v>608</v>
      </c>
      <c r="J75" s="5" t="s">
        <v>73</v>
      </c>
    </row>
    <row r="76" spans="1:10" ht="54" customHeight="1" x14ac:dyDescent="0.35">
      <c r="A76" s="5">
        <v>73</v>
      </c>
      <c r="B76" s="12">
        <v>46281</v>
      </c>
      <c r="C76" s="5" t="s">
        <v>74</v>
      </c>
      <c r="D76" s="5">
        <v>11</v>
      </c>
      <c r="E76" s="6" t="s">
        <v>221</v>
      </c>
      <c r="F76" s="6" t="s">
        <v>222</v>
      </c>
      <c r="G76" s="7" t="s">
        <v>520</v>
      </c>
      <c r="H76" s="7" t="s">
        <v>521</v>
      </c>
      <c r="I76" s="7" t="s">
        <v>609</v>
      </c>
      <c r="J76" s="5" t="s">
        <v>73</v>
      </c>
    </row>
    <row r="77" spans="1:10" ht="54" customHeight="1" x14ac:dyDescent="0.35">
      <c r="A77" s="5">
        <v>74</v>
      </c>
      <c r="B77" s="12">
        <v>46282</v>
      </c>
      <c r="C77" s="5" t="s">
        <v>77</v>
      </c>
      <c r="D77" s="5">
        <v>11</v>
      </c>
      <c r="E77" s="6" t="s">
        <v>223</v>
      </c>
      <c r="F77" s="6" t="s">
        <v>224</v>
      </c>
      <c r="G77" s="7" t="s">
        <v>522</v>
      </c>
      <c r="H77" s="7" t="s">
        <v>523</v>
      </c>
      <c r="I77" s="7" t="s">
        <v>610</v>
      </c>
      <c r="J77" s="5" t="s">
        <v>73</v>
      </c>
    </row>
    <row r="78" spans="1:10" ht="54" customHeight="1" x14ac:dyDescent="0.35">
      <c r="A78" s="16">
        <v>75</v>
      </c>
      <c r="B78" s="17">
        <v>46283</v>
      </c>
      <c r="C78" s="16" t="s">
        <v>80</v>
      </c>
      <c r="D78" s="16">
        <v>11</v>
      </c>
      <c r="E78" s="18" t="s">
        <v>225</v>
      </c>
      <c r="F78" s="18" t="s">
        <v>226</v>
      </c>
      <c r="G78" s="18" t="s">
        <v>524</v>
      </c>
      <c r="H78" s="18" t="s">
        <v>525</v>
      </c>
      <c r="I78" s="7" t="s">
        <v>611</v>
      </c>
      <c r="J78" s="16" t="s">
        <v>73</v>
      </c>
    </row>
    <row r="79" spans="1:10" ht="54" customHeight="1" x14ac:dyDescent="0.35">
      <c r="A79" s="5">
        <v>76</v>
      </c>
      <c r="B79" s="12">
        <v>46284</v>
      </c>
      <c r="C79" s="5" t="s">
        <v>83</v>
      </c>
      <c r="D79" s="5">
        <v>11</v>
      </c>
      <c r="E79" s="6" t="s">
        <v>227</v>
      </c>
      <c r="F79" s="6" t="s">
        <v>228</v>
      </c>
      <c r="G79" s="7" t="s">
        <v>526</v>
      </c>
      <c r="H79" s="7" t="s">
        <v>527</v>
      </c>
      <c r="I79" s="7" t="s">
        <v>612</v>
      </c>
      <c r="J79" s="5" t="s">
        <v>73</v>
      </c>
    </row>
    <row r="80" spans="1:10" ht="54" customHeight="1" x14ac:dyDescent="0.35">
      <c r="A80" s="13">
        <v>77</v>
      </c>
      <c r="B80" s="14">
        <v>46285</v>
      </c>
      <c r="C80" s="13" t="s">
        <v>86</v>
      </c>
      <c r="D80" s="13">
        <v>11</v>
      </c>
      <c r="E80" s="15" t="s">
        <v>229</v>
      </c>
      <c r="F80" s="15" t="s">
        <v>230</v>
      </c>
      <c r="G80" s="15" t="s">
        <v>528</v>
      </c>
      <c r="H80" s="15" t="s">
        <v>529</v>
      </c>
      <c r="I80" s="7" t="s">
        <v>613</v>
      </c>
      <c r="J80" s="13" t="s">
        <v>73</v>
      </c>
    </row>
    <row r="81" spans="1:10" ht="54" customHeight="1" x14ac:dyDescent="0.35">
      <c r="A81" s="5">
        <v>78</v>
      </c>
      <c r="B81" s="12">
        <v>46286</v>
      </c>
      <c r="C81" s="5" t="s">
        <v>89</v>
      </c>
      <c r="D81" s="5">
        <v>12</v>
      </c>
      <c r="E81" s="6" t="s">
        <v>231</v>
      </c>
      <c r="F81" s="6" t="s">
        <v>232</v>
      </c>
      <c r="G81" s="19" t="s">
        <v>530</v>
      </c>
      <c r="H81" s="19" t="s">
        <v>531</v>
      </c>
      <c r="I81" s="7" t="s">
        <v>614</v>
      </c>
      <c r="J81" s="5" t="s">
        <v>73</v>
      </c>
    </row>
    <row r="82" spans="1:10" ht="54" customHeight="1" x14ac:dyDescent="0.35">
      <c r="A82" s="5">
        <v>79</v>
      </c>
      <c r="B82" s="12">
        <v>46287</v>
      </c>
      <c r="C82" s="5" t="s">
        <v>70</v>
      </c>
      <c r="D82" s="5">
        <v>12</v>
      </c>
      <c r="E82" s="6" t="s">
        <v>233</v>
      </c>
      <c r="F82" s="6" t="s">
        <v>234</v>
      </c>
      <c r="G82" s="19" t="s">
        <v>532</v>
      </c>
      <c r="H82" s="19" t="s">
        <v>533</v>
      </c>
      <c r="I82" s="7" t="s">
        <v>615</v>
      </c>
      <c r="J82" s="5" t="s">
        <v>73</v>
      </c>
    </row>
    <row r="83" spans="1:10" ht="54" customHeight="1" x14ac:dyDescent="0.35">
      <c r="A83" s="5">
        <v>80</v>
      </c>
      <c r="B83" s="12">
        <v>46288</v>
      </c>
      <c r="C83" s="5" t="s">
        <v>74</v>
      </c>
      <c r="D83" s="5">
        <v>12</v>
      </c>
      <c r="E83" s="6" t="s">
        <v>235</v>
      </c>
      <c r="F83" s="6" t="s">
        <v>236</v>
      </c>
      <c r="G83" s="19"/>
      <c r="H83" s="19"/>
      <c r="I83" s="7"/>
      <c r="J83" s="5" t="s">
        <v>73</v>
      </c>
    </row>
    <row r="84" spans="1:10" ht="54" customHeight="1" x14ac:dyDescent="0.35">
      <c r="A84" s="5">
        <v>81</v>
      </c>
      <c r="B84" s="12">
        <v>46289</v>
      </c>
      <c r="C84" s="5" t="s">
        <v>77</v>
      </c>
      <c r="D84" s="5">
        <v>12</v>
      </c>
      <c r="E84" s="6" t="s">
        <v>237</v>
      </c>
      <c r="F84" s="6" t="s">
        <v>238</v>
      </c>
      <c r="G84" s="19"/>
      <c r="H84" s="19"/>
      <c r="I84" s="7"/>
      <c r="J84" s="5" t="s">
        <v>73</v>
      </c>
    </row>
    <row r="85" spans="1:10" ht="54" customHeight="1" x14ac:dyDescent="0.35">
      <c r="A85" s="13">
        <v>82</v>
      </c>
      <c r="B85" s="14">
        <v>46290</v>
      </c>
      <c r="C85" s="13" t="s">
        <v>80</v>
      </c>
      <c r="D85" s="13">
        <v>12</v>
      </c>
      <c r="E85" s="15" t="s">
        <v>239</v>
      </c>
      <c r="F85" s="15"/>
      <c r="G85" s="15"/>
      <c r="H85" s="15"/>
      <c r="I85" s="7"/>
      <c r="J85" s="13" t="s">
        <v>73</v>
      </c>
    </row>
    <row r="86" spans="1:10" ht="54" customHeight="1" x14ac:dyDescent="0.35">
      <c r="A86" s="13">
        <v>83</v>
      </c>
      <c r="B86" s="14">
        <v>46291</v>
      </c>
      <c r="C86" s="13" t="s">
        <v>83</v>
      </c>
      <c r="D86" s="13">
        <v>12</v>
      </c>
      <c r="E86" s="15" t="s">
        <v>240</v>
      </c>
      <c r="F86" s="15"/>
      <c r="G86" s="15"/>
      <c r="H86" s="15"/>
      <c r="I86" s="7"/>
      <c r="J86" s="13" t="s">
        <v>73</v>
      </c>
    </row>
    <row r="87" spans="1:10" ht="54" customHeight="1" x14ac:dyDescent="0.35">
      <c r="A87" s="10">
        <v>84</v>
      </c>
      <c r="B87" s="20">
        <v>46292</v>
      </c>
      <c r="C87" s="10" t="s">
        <v>86</v>
      </c>
      <c r="D87" s="10">
        <v>12</v>
      </c>
      <c r="E87" s="11" t="s">
        <v>241</v>
      </c>
      <c r="F87" s="11"/>
      <c r="G87" s="11"/>
      <c r="H87" s="29" t="s">
        <v>535</v>
      </c>
      <c r="I87" s="7"/>
      <c r="J87" s="10" t="s">
        <v>73</v>
      </c>
    </row>
    <row r="88" spans="1:10" ht="15.75" customHeight="1" x14ac:dyDescent="0.35"/>
    <row r="89" spans="1:10" ht="15.75" customHeight="1" x14ac:dyDescent="0.35"/>
    <row r="90" spans="1:10" ht="15.75" customHeight="1" x14ac:dyDescent="0.35"/>
    <row r="91" spans="1:10" ht="15.75" customHeight="1" x14ac:dyDescent="0.35"/>
    <row r="92" spans="1:10" ht="15.75" customHeight="1" x14ac:dyDescent="0.35"/>
    <row r="93" spans="1:10" ht="15.75" customHeight="1" x14ac:dyDescent="0.35"/>
    <row r="94" spans="1:10" ht="15.75" customHeight="1" x14ac:dyDescent="0.35"/>
    <row r="95" spans="1:10" ht="15.75" customHeight="1" x14ac:dyDescent="0.35"/>
    <row r="96" spans="1:10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2">
    <mergeCell ref="A1:J1"/>
    <mergeCell ref="A2:J2"/>
  </mergeCells>
  <phoneticPr fontId="10"/>
  <conditionalFormatting sqref="I5:I87">
    <cfRule type="expression" dxfId="4" priority="1">
      <formula>I5="Xong"</formula>
    </cfRule>
    <cfRule type="expression" dxfId="3" priority="2">
      <formula>I5="Một phần"</formula>
    </cfRule>
  </conditionalFormatting>
  <dataValidations count="1">
    <dataValidation type="list" allowBlank="1" sqref="I5:I87" xr:uid="{00000000-0002-0000-0100-000000000000}">
      <formula1>"Chưa,Một phần,Xong"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9"/>
  <sheetViews>
    <sheetView workbookViewId="0">
      <pane ySplit="4" topLeftCell="A5" activePane="bottomLeft" state="frozen"/>
      <selection pane="bottomLeft" activeCell="E17" sqref="E17"/>
    </sheetView>
  </sheetViews>
  <sheetFormatPr defaultColWidth="14.453125" defaultRowHeight="15" customHeight="1" x14ac:dyDescent="0.35"/>
  <cols>
    <col min="1" max="1" width="7" customWidth="1"/>
    <col min="2" max="2" width="12" customWidth="1"/>
    <col min="3" max="3" width="6" customWidth="1"/>
    <col min="4" max="4" width="7" customWidth="1"/>
    <col min="5" max="8" width="13" customWidth="1"/>
    <col min="9" max="9" width="11" customWidth="1"/>
    <col min="10" max="10" width="12" customWidth="1"/>
    <col min="11" max="26" width="8.7265625" customWidth="1"/>
  </cols>
  <sheetData>
    <row r="1" spans="1:10" ht="20" x14ac:dyDescent="0.4">
      <c r="A1" s="32" t="s">
        <v>242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4.5" x14ac:dyDescent="0.35">
      <c r="A2" s="35" t="s">
        <v>243</v>
      </c>
      <c r="B2" s="31"/>
      <c r="C2" s="31"/>
      <c r="D2" s="31"/>
      <c r="E2" s="31"/>
      <c r="F2" s="31"/>
      <c r="G2" s="31"/>
      <c r="H2" s="31"/>
      <c r="I2" s="31"/>
      <c r="J2" s="31"/>
    </row>
    <row r="4" spans="1:10" ht="28" x14ac:dyDescent="0.35">
      <c r="A4" s="4" t="s">
        <v>63</v>
      </c>
      <c r="B4" s="4" t="s">
        <v>15</v>
      </c>
      <c r="C4" s="4" t="s">
        <v>64</v>
      </c>
      <c r="D4" s="4" t="s">
        <v>14</v>
      </c>
      <c r="E4" s="4" t="s">
        <v>244</v>
      </c>
      <c r="F4" s="4" t="s">
        <v>245</v>
      </c>
      <c r="G4" s="4" t="s">
        <v>246</v>
      </c>
      <c r="H4" s="4" t="s">
        <v>247</v>
      </c>
      <c r="I4" s="4" t="s">
        <v>248</v>
      </c>
      <c r="J4" s="4" t="s">
        <v>249</v>
      </c>
    </row>
    <row r="5" spans="1:10" ht="14.5" x14ac:dyDescent="0.35">
      <c r="A5" s="5">
        <v>2</v>
      </c>
      <c r="B5" s="12">
        <v>46210</v>
      </c>
      <c r="C5" s="5" t="s">
        <v>70</v>
      </c>
      <c r="D5" s="5">
        <v>1</v>
      </c>
      <c r="E5" s="5"/>
      <c r="F5" s="5"/>
      <c r="G5" s="5"/>
      <c r="H5" s="5"/>
      <c r="I5" s="5">
        <f t="shared" ref="I5:I87" si="0">SUM(E5:H5)</f>
        <v>0</v>
      </c>
      <c r="J5" s="21">
        <f t="shared" ref="J5:J87" si="1">IF(I5=0,0,I5/130)</f>
        <v>0</v>
      </c>
    </row>
    <row r="6" spans="1:10" ht="14.5" x14ac:dyDescent="0.35">
      <c r="A6" s="5">
        <v>3</v>
      </c>
      <c r="B6" s="12">
        <v>46211</v>
      </c>
      <c r="C6" s="5" t="s">
        <v>74</v>
      </c>
      <c r="D6" s="5">
        <v>1</v>
      </c>
      <c r="E6" s="5"/>
      <c r="F6" s="5"/>
      <c r="G6" s="5"/>
      <c r="H6" s="5"/>
      <c r="I6" s="5">
        <f t="shared" si="0"/>
        <v>0</v>
      </c>
      <c r="J6" s="21">
        <f t="shared" si="1"/>
        <v>0</v>
      </c>
    </row>
    <row r="7" spans="1:10" ht="14.5" x14ac:dyDescent="0.35">
      <c r="A7" s="5">
        <v>4</v>
      </c>
      <c r="B7" s="12">
        <v>46212</v>
      </c>
      <c r="C7" s="5" t="s">
        <v>77</v>
      </c>
      <c r="D7" s="5">
        <v>1</v>
      </c>
      <c r="E7" s="5"/>
      <c r="F7" s="5"/>
      <c r="G7" s="5"/>
      <c r="H7" s="5"/>
      <c r="I7" s="5">
        <f t="shared" si="0"/>
        <v>0</v>
      </c>
      <c r="J7" s="21">
        <f t="shared" si="1"/>
        <v>0</v>
      </c>
    </row>
    <row r="8" spans="1:10" ht="14.5" x14ac:dyDescent="0.35">
      <c r="A8" s="5">
        <v>5</v>
      </c>
      <c r="B8" s="12">
        <v>46213</v>
      </c>
      <c r="C8" s="5" t="s">
        <v>80</v>
      </c>
      <c r="D8" s="5">
        <v>1</v>
      </c>
      <c r="E8" s="5"/>
      <c r="F8" s="5"/>
      <c r="G8" s="5"/>
      <c r="H8" s="5"/>
      <c r="I8" s="5">
        <f t="shared" si="0"/>
        <v>0</v>
      </c>
      <c r="J8" s="21">
        <f t="shared" si="1"/>
        <v>0</v>
      </c>
    </row>
    <row r="9" spans="1:10" ht="14.5" x14ac:dyDescent="0.35">
      <c r="A9" s="5">
        <v>6</v>
      </c>
      <c r="B9" s="12">
        <v>46214</v>
      </c>
      <c r="C9" s="5" t="s">
        <v>83</v>
      </c>
      <c r="D9" s="5">
        <v>1</v>
      </c>
      <c r="E9" s="5"/>
      <c r="F9" s="5"/>
      <c r="G9" s="5"/>
      <c r="H9" s="5"/>
      <c r="I9" s="5">
        <f t="shared" si="0"/>
        <v>0</v>
      </c>
      <c r="J9" s="21">
        <f t="shared" si="1"/>
        <v>0</v>
      </c>
    </row>
    <row r="10" spans="1:10" ht="14.5" x14ac:dyDescent="0.35">
      <c r="A10" s="5">
        <v>7</v>
      </c>
      <c r="B10" s="12">
        <v>46215</v>
      </c>
      <c r="C10" s="5" t="s">
        <v>86</v>
      </c>
      <c r="D10" s="5">
        <v>1</v>
      </c>
      <c r="E10" s="5"/>
      <c r="F10" s="5"/>
      <c r="G10" s="5"/>
      <c r="H10" s="5"/>
      <c r="I10" s="5">
        <f t="shared" si="0"/>
        <v>0</v>
      </c>
      <c r="J10" s="21">
        <f t="shared" si="1"/>
        <v>0</v>
      </c>
    </row>
    <row r="11" spans="1:10" ht="14.5" x14ac:dyDescent="0.35">
      <c r="A11" s="5">
        <v>8</v>
      </c>
      <c r="B11" s="12">
        <v>46216</v>
      </c>
      <c r="C11" s="5" t="s">
        <v>89</v>
      </c>
      <c r="D11" s="5">
        <v>2</v>
      </c>
      <c r="E11" s="5"/>
      <c r="F11" s="5"/>
      <c r="G11" s="5"/>
      <c r="H11" s="5"/>
      <c r="I11" s="5">
        <f t="shared" si="0"/>
        <v>0</v>
      </c>
      <c r="J11" s="21">
        <f t="shared" si="1"/>
        <v>0</v>
      </c>
    </row>
    <row r="12" spans="1:10" ht="14.5" x14ac:dyDescent="0.35">
      <c r="A12" s="5">
        <v>9</v>
      </c>
      <c r="B12" s="12">
        <v>46217</v>
      </c>
      <c r="C12" s="5" t="s">
        <v>70</v>
      </c>
      <c r="D12" s="5">
        <v>2</v>
      </c>
      <c r="E12" s="5"/>
      <c r="F12" s="5"/>
      <c r="G12" s="5"/>
      <c r="H12" s="5"/>
      <c r="I12" s="5">
        <f t="shared" si="0"/>
        <v>0</v>
      </c>
      <c r="J12" s="21">
        <f t="shared" si="1"/>
        <v>0</v>
      </c>
    </row>
    <row r="13" spans="1:10" ht="14.5" x14ac:dyDescent="0.35">
      <c r="A13" s="5">
        <v>10</v>
      </c>
      <c r="B13" s="12">
        <v>46218</v>
      </c>
      <c r="C13" s="5" t="s">
        <v>74</v>
      </c>
      <c r="D13" s="5">
        <v>2</v>
      </c>
      <c r="E13" s="5"/>
      <c r="F13" s="5"/>
      <c r="G13" s="5"/>
      <c r="H13" s="5"/>
      <c r="I13" s="5">
        <f t="shared" si="0"/>
        <v>0</v>
      </c>
      <c r="J13" s="21">
        <f t="shared" si="1"/>
        <v>0</v>
      </c>
    </row>
    <row r="14" spans="1:10" ht="14.5" x14ac:dyDescent="0.35">
      <c r="A14" s="5">
        <v>11</v>
      </c>
      <c r="B14" s="12">
        <v>46219</v>
      </c>
      <c r="C14" s="5" t="s">
        <v>77</v>
      </c>
      <c r="D14" s="5">
        <v>2</v>
      </c>
      <c r="E14" s="5"/>
      <c r="F14" s="5"/>
      <c r="G14" s="5"/>
      <c r="H14" s="5"/>
      <c r="I14" s="5">
        <f t="shared" si="0"/>
        <v>0</v>
      </c>
      <c r="J14" s="21">
        <f t="shared" si="1"/>
        <v>0</v>
      </c>
    </row>
    <row r="15" spans="1:10" ht="14.5" x14ac:dyDescent="0.35">
      <c r="A15" s="5">
        <v>12</v>
      </c>
      <c r="B15" s="12">
        <v>46220</v>
      </c>
      <c r="C15" s="5" t="s">
        <v>80</v>
      </c>
      <c r="D15" s="5">
        <v>2</v>
      </c>
      <c r="E15" s="5"/>
      <c r="F15" s="5"/>
      <c r="G15" s="5"/>
      <c r="H15" s="5"/>
      <c r="I15" s="5">
        <f t="shared" si="0"/>
        <v>0</v>
      </c>
      <c r="J15" s="21">
        <f t="shared" si="1"/>
        <v>0</v>
      </c>
    </row>
    <row r="16" spans="1:10" ht="14.5" x14ac:dyDescent="0.35">
      <c r="A16" s="5">
        <v>13</v>
      </c>
      <c r="B16" s="12">
        <v>46221</v>
      </c>
      <c r="C16" s="5" t="s">
        <v>83</v>
      </c>
      <c r="D16" s="5">
        <v>2</v>
      </c>
      <c r="E16" s="5"/>
      <c r="F16" s="5"/>
      <c r="G16" s="5"/>
      <c r="H16" s="5"/>
      <c r="I16" s="5">
        <f t="shared" si="0"/>
        <v>0</v>
      </c>
      <c r="J16" s="21">
        <f t="shared" si="1"/>
        <v>0</v>
      </c>
    </row>
    <row r="17" spans="1:10" ht="14.5" x14ac:dyDescent="0.35">
      <c r="A17" s="5">
        <v>14</v>
      </c>
      <c r="B17" s="12">
        <v>46222</v>
      </c>
      <c r="C17" s="5" t="s">
        <v>86</v>
      </c>
      <c r="D17" s="5">
        <v>2</v>
      </c>
      <c r="E17" s="5"/>
      <c r="F17" s="5"/>
      <c r="G17" s="5"/>
      <c r="H17" s="5"/>
      <c r="I17" s="5">
        <f t="shared" si="0"/>
        <v>0</v>
      </c>
      <c r="J17" s="21">
        <f t="shared" si="1"/>
        <v>0</v>
      </c>
    </row>
    <row r="18" spans="1:10" ht="14.5" x14ac:dyDescent="0.35">
      <c r="A18" s="5">
        <v>15</v>
      </c>
      <c r="B18" s="12">
        <v>46223</v>
      </c>
      <c r="C18" s="5" t="s">
        <v>89</v>
      </c>
      <c r="D18" s="5">
        <v>3</v>
      </c>
      <c r="E18" s="5"/>
      <c r="F18" s="5"/>
      <c r="G18" s="5"/>
      <c r="H18" s="5"/>
      <c r="I18" s="5">
        <f t="shared" si="0"/>
        <v>0</v>
      </c>
      <c r="J18" s="21">
        <f t="shared" si="1"/>
        <v>0</v>
      </c>
    </row>
    <row r="19" spans="1:10" ht="14.5" x14ac:dyDescent="0.35">
      <c r="A19" s="5">
        <v>16</v>
      </c>
      <c r="B19" s="12">
        <v>46224</v>
      </c>
      <c r="C19" s="5" t="s">
        <v>70</v>
      </c>
      <c r="D19" s="5">
        <v>3</v>
      </c>
      <c r="E19" s="5"/>
      <c r="F19" s="5"/>
      <c r="G19" s="5"/>
      <c r="H19" s="5"/>
      <c r="I19" s="5">
        <f t="shared" si="0"/>
        <v>0</v>
      </c>
      <c r="J19" s="21">
        <f t="shared" si="1"/>
        <v>0</v>
      </c>
    </row>
    <row r="20" spans="1:10" ht="15.75" customHeight="1" x14ac:dyDescent="0.35">
      <c r="A20" s="5">
        <v>17</v>
      </c>
      <c r="B20" s="12">
        <v>46225</v>
      </c>
      <c r="C20" s="5" t="s">
        <v>74</v>
      </c>
      <c r="D20" s="5">
        <v>3</v>
      </c>
      <c r="E20" s="5"/>
      <c r="F20" s="5"/>
      <c r="G20" s="5"/>
      <c r="H20" s="5"/>
      <c r="I20" s="5">
        <f t="shared" si="0"/>
        <v>0</v>
      </c>
      <c r="J20" s="21">
        <f t="shared" si="1"/>
        <v>0</v>
      </c>
    </row>
    <row r="21" spans="1:10" ht="15.75" customHeight="1" x14ac:dyDescent="0.35">
      <c r="A21" s="5">
        <v>18</v>
      </c>
      <c r="B21" s="12">
        <v>46226</v>
      </c>
      <c r="C21" s="5" t="s">
        <v>77</v>
      </c>
      <c r="D21" s="5">
        <v>3</v>
      </c>
      <c r="E21" s="5"/>
      <c r="F21" s="5"/>
      <c r="G21" s="5"/>
      <c r="H21" s="5"/>
      <c r="I21" s="5">
        <f t="shared" si="0"/>
        <v>0</v>
      </c>
      <c r="J21" s="21">
        <f t="shared" si="1"/>
        <v>0</v>
      </c>
    </row>
    <row r="22" spans="1:10" ht="15.75" customHeight="1" x14ac:dyDescent="0.35">
      <c r="A22" s="5">
        <v>19</v>
      </c>
      <c r="B22" s="12">
        <v>46227</v>
      </c>
      <c r="C22" s="5" t="s">
        <v>80</v>
      </c>
      <c r="D22" s="5">
        <v>3</v>
      </c>
      <c r="E22" s="5"/>
      <c r="F22" s="5"/>
      <c r="G22" s="5"/>
      <c r="H22" s="5"/>
      <c r="I22" s="5">
        <f t="shared" si="0"/>
        <v>0</v>
      </c>
      <c r="J22" s="21">
        <f t="shared" si="1"/>
        <v>0</v>
      </c>
    </row>
    <row r="23" spans="1:10" ht="15.75" customHeight="1" x14ac:dyDescent="0.35">
      <c r="A23" s="5">
        <v>20</v>
      </c>
      <c r="B23" s="12">
        <v>46228</v>
      </c>
      <c r="C23" s="5" t="s">
        <v>83</v>
      </c>
      <c r="D23" s="5">
        <v>3</v>
      </c>
      <c r="E23" s="5"/>
      <c r="F23" s="5"/>
      <c r="G23" s="5"/>
      <c r="H23" s="5"/>
      <c r="I23" s="5">
        <f t="shared" si="0"/>
        <v>0</v>
      </c>
      <c r="J23" s="21">
        <f t="shared" si="1"/>
        <v>0</v>
      </c>
    </row>
    <row r="24" spans="1:10" ht="15.75" customHeight="1" x14ac:dyDescent="0.35">
      <c r="A24" s="5">
        <v>21</v>
      </c>
      <c r="B24" s="12">
        <v>46229</v>
      </c>
      <c r="C24" s="5" t="s">
        <v>86</v>
      </c>
      <c r="D24" s="5">
        <v>3</v>
      </c>
      <c r="E24" s="5"/>
      <c r="F24" s="5"/>
      <c r="G24" s="5"/>
      <c r="H24" s="5"/>
      <c r="I24" s="5">
        <f t="shared" si="0"/>
        <v>0</v>
      </c>
      <c r="J24" s="21">
        <f t="shared" si="1"/>
        <v>0</v>
      </c>
    </row>
    <row r="25" spans="1:10" ht="15.75" customHeight="1" x14ac:dyDescent="0.35">
      <c r="A25" s="5">
        <v>22</v>
      </c>
      <c r="B25" s="12">
        <v>46230</v>
      </c>
      <c r="C25" s="5" t="s">
        <v>89</v>
      </c>
      <c r="D25" s="5">
        <v>4</v>
      </c>
      <c r="E25" s="5"/>
      <c r="F25" s="5"/>
      <c r="G25" s="5"/>
      <c r="H25" s="5"/>
      <c r="I25" s="5">
        <f t="shared" si="0"/>
        <v>0</v>
      </c>
      <c r="J25" s="21">
        <f t="shared" si="1"/>
        <v>0</v>
      </c>
    </row>
    <row r="26" spans="1:10" ht="15.75" customHeight="1" x14ac:dyDescent="0.35">
      <c r="A26" s="5">
        <v>23</v>
      </c>
      <c r="B26" s="12">
        <v>46231</v>
      </c>
      <c r="C26" s="5" t="s">
        <v>70</v>
      </c>
      <c r="D26" s="5">
        <v>4</v>
      </c>
      <c r="E26" s="5"/>
      <c r="F26" s="5"/>
      <c r="G26" s="5"/>
      <c r="H26" s="5"/>
      <c r="I26" s="5">
        <f t="shared" si="0"/>
        <v>0</v>
      </c>
      <c r="J26" s="21">
        <f t="shared" si="1"/>
        <v>0</v>
      </c>
    </row>
    <row r="27" spans="1:10" ht="15.75" customHeight="1" x14ac:dyDescent="0.35">
      <c r="A27" s="5">
        <v>24</v>
      </c>
      <c r="B27" s="12">
        <v>46232</v>
      </c>
      <c r="C27" s="5" t="s">
        <v>74</v>
      </c>
      <c r="D27" s="5">
        <v>4</v>
      </c>
      <c r="E27" s="5"/>
      <c r="F27" s="5"/>
      <c r="G27" s="5"/>
      <c r="H27" s="5"/>
      <c r="I27" s="5">
        <f t="shared" si="0"/>
        <v>0</v>
      </c>
      <c r="J27" s="21">
        <f t="shared" si="1"/>
        <v>0</v>
      </c>
    </row>
    <row r="28" spans="1:10" ht="15.75" customHeight="1" x14ac:dyDescent="0.35">
      <c r="A28" s="5">
        <v>25</v>
      </c>
      <c r="B28" s="12">
        <v>46233</v>
      </c>
      <c r="C28" s="5" t="s">
        <v>77</v>
      </c>
      <c r="D28" s="5">
        <v>4</v>
      </c>
      <c r="E28" s="5"/>
      <c r="F28" s="5"/>
      <c r="G28" s="5"/>
      <c r="H28" s="5"/>
      <c r="I28" s="5">
        <f t="shared" si="0"/>
        <v>0</v>
      </c>
      <c r="J28" s="21">
        <f t="shared" si="1"/>
        <v>0</v>
      </c>
    </row>
    <row r="29" spans="1:10" ht="15.75" customHeight="1" x14ac:dyDescent="0.35">
      <c r="A29" s="5">
        <v>26</v>
      </c>
      <c r="B29" s="12">
        <v>46234</v>
      </c>
      <c r="C29" s="5" t="s">
        <v>80</v>
      </c>
      <c r="D29" s="5">
        <v>4</v>
      </c>
      <c r="E29" s="5"/>
      <c r="F29" s="5"/>
      <c r="G29" s="5"/>
      <c r="H29" s="5"/>
      <c r="I29" s="5">
        <f t="shared" si="0"/>
        <v>0</v>
      </c>
      <c r="J29" s="21">
        <f t="shared" si="1"/>
        <v>0</v>
      </c>
    </row>
    <row r="30" spans="1:10" ht="15.75" customHeight="1" x14ac:dyDescent="0.35">
      <c r="A30" s="5">
        <v>27</v>
      </c>
      <c r="B30" s="12">
        <v>46235</v>
      </c>
      <c r="C30" s="5" t="s">
        <v>83</v>
      </c>
      <c r="D30" s="5">
        <v>4</v>
      </c>
      <c r="E30" s="5"/>
      <c r="F30" s="5"/>
      <c r="G30" s="5"/>
      <c r="H30" s="5"/>
      <c r="I30" s="5">
        <f t="shared" si="0"/>
        <v>0</v>
      </c>
      <c r="J30" s="21">
        <f t="shared" si="1"/>
        <v>0</v>
      </c>
    </row>
    <row r="31" spans="1:10" ht="15.75" customHeight="1" x14ac:dyDescent="0.35">
      <c r="A31" s="5">
        <v>28</v>
      </c>
      <c r="B31" s="12">
        <v>46236</v>
      </c>
      <c r="C31" s="5" t="s">
        <v>86</v>
      </c>
      <c r="D31" s="5">
        <v>4</v>
      </c>
      <c r="E31" s="5"/>
      <c r="F31" s="5"/>
      <c r="G31" s="5"/>
      <c r="H31" s="5"/>
      <c r="I31" s="5">
        <f t="shared" si="0"/>
        <v>0</v>
      </c>
      <c r="J31" s="21">
        <f t="shared" si="1"/>
        <v>0</v>
      </c>
    </row>
    <row r="32" spans="1:10" ht="15.75" customHeight="1" x14ac:dyDescent="0.35">
      <c r="A32" s="5">
        <v>29</v>
      </c>
      <c r="B32" s="12">
        <v>46237</v>
      </c>
      <c r="C32" s="5" t="s">
        <v>89</v>
      </c>
      <c r="D32" s="5">
        <v>5</v>
      </c>
      <c r="E32" s="5"/>
      <c r="F32" s="5"/>
      <c r="G32" s="5"/>
      <c r="H32" s="5"/>
      <c r="I32" s="5">
        <f t="shared" si="0"/>
        <v>0</v>
      </c>
      <c r="J32" s="21">
        <f t="shared" si="1"/>
        <v>0</v>
      </c>
    </row>
    <row r="33" spans="1:10" ht="15.75" customHeight="1" x14ac:dyDescent="0.35">
      <c r="A33" s="5">
        <v>30</v>
      </c>
      <c r="B33" s="12">
        <v>46238</v>
      </c>
      <c r="C33" s="5" t="s">
        <v>70</v>
      </c>
      <c r="D33" s="5">
        <v>5</v>
      </c>
      <c r="E33" s="5"/>
      <c r="F33" s="5"/>
      <c r="G33" s="5"/>
      <c r="H33" s="5"/>
      <c r="I33" s="5">
        <f t="shared" si="0"/>
        <v>0</v>
      </c>
      <c r="J33" s="21">
        <f t="shared" si="1"/>
        <v>0</v>
      </c>
    </row>
    <row r="34" spans="1:10" ht="15.75" customHeight="1" x14ac:dyDescent="0.35">
      <c r="A34" s="5">
        <v>31</v>
      </c>
      <c r="B34" s="12">
        <v>46239</v>
      </c>
      <c r="C34" s="5" t="s">
        <v>74</v>
      </c>
      <c r="D34" s="5">
        <v>5</v>
      </c>
      <c r="E34" s="5"/>
      <c r="F34" s="5"/>
      <c r="G34" s="5"/>
      <c r="H34" s="5"/>
      <c r="I34" s="5">
        <f t="shared" si="0"/>
        <v>0</v>
      </c>
      <c r="J34" s="21">
        <f t="shared" si="1"/>
        <v>0</v>
      </c>
    </row>
    <row r="35" spans="1:10" ht="15.75" customHeight="1" x14ac:dyDescent="0.35">
      <c r="A35" s="5">
        <v>32</v>
      </c>
      <c r="B35" s="12">
        <v>46240</v>
      </c>
      <c r="C35" s="5" t="s">
        <v>77</v>
      </c>
      <c r="D35" s="5">
        <v>5</v>
      </c>
      <c r="E35" s="5"/>
      <c r="F35" s="5"/>
      <c r="G35" s="5"/>
      <c r="H35" s="5"/>
      <c r="I35" s="5">
        <f t="shared" si="0"/>
        <v>0</v>
      </c>
      <c r="J35" s="21">
        <f t="shared" si="1"/>
        <v>0</v>
      </c>
    </row>
    <row r="36" spans="1:10" ht="15.75" customHeight="1" x14ac:dyDescent="0.35">
      <c r="A36" s="5">
        <v>33</v>
      </c>
      <c r="B36" s="12">
        <v>46241</v>
      </c>
      <c r="C36" s="5" t="s">
        <v>80</v>
      </c>
      <c r="D36" s="5">
        <v>5</v>
      </c>
      <c r="E36" s="5"/>
      <c r="F36" s="5"/>
      <c r="G36" s="5"/>
      <c r="H36" s="5"/>
      <c r="I36" s="5">
        <f t="shared" si="0"/>
        <v>0</v>
      </c>
      <c r="J36" s="21">
        <f t="shared" si="1"/>
        <v>0</v>
      </c>
    </row>
    <row r="37" spans="1:10" ht="15.75" customHeight="1" x14ac:dyDescent="0.35">
      <c r="A37" s="5">
        <v>34</v>
      </c>
      <c r="B37" s="12">
        <v>46242</v>
      </c>
      <c r="C37" s="5" t="s">
        <v>83</v>
      </c>
      <c r="D37" s="5">
        <v>5</v>
      </c>
      <c r="E37" s="5"/>
      <c r="F37" s="5"/>
      <c r="G37" s="5"/>
      <c r="H37" s="5"/>
      <c r="I37" s="5">
        <f t="shared" si="0"/>
        <v>0</v>
      </c>
      <c r="J37" s="21">
        <f t="shared" si="1"/>
        <v>0</v>
      </c>
    </row>
    <row r="38" spans="1:10" ht="15.75" customHeight="1" x14ac:dyDescent="0.35">
      <c r="A38" s="5">
        <v>35</v>
      </c>
      <c r="B38" s="12">
        <v>46243</v>
      </c>
      <c r="C38" s="5" t="s">
        <v>86</v>
      </c>
      <c r="D38" s="5">
        <v>5</v>
      </c>
      <c r="E38" s="5"/>
      <c r="F38" s="5"/>
      <c r="G38" s="5"/>
      <c r="H38" s="5"/>
      <c r="I38" s="5">
        <f t="shared" si="0"/>
        <v>0</v>
      </c>
      <c r="J38" s="21">
        <f t="shared" si="1"/>
        <v>0</v>
      </c>
    </row>
    <row r="39" spans="1:10" ht="15.75" customHeight="1" x14ac:dyDescent="0.35">
      <c r="A39" s="5">
        <v>36</v>
      </c>
      <c r="B39" s="12">
        <v>46244</v>
      </c>
      <c r="C39" s="5" t="s">
        <v>89</v>
      </c>
      <c r="D39" s="5">
        <v>6</v>
      </c>
      <c r="E39" s="5"/>
      <c r="F39" s="5"/>
      <c r="G39" s="5"/>
      <c r="H39" s="5"/>
      <c r="I39" s="5">
        <f t="shared" si="0"/>
        <v>0</v>
      </c>
      <c r="J39" s="21">
        <f t="shared" si="1"/>
        <v>0</v>
      </c>
    </row>
    <row r="40" spans="1:10" ht="15.75" customHeight="1" x14ac:dyDescent="0.35">
      <c r="A40" s="5">
        <v>37</v>
      </c>
      <c r="B40" s="12">
        <v>46245</v>
      </c>
      <c r="C40" s="5" t="s">
        <v>70</v>
      </c>
      <c r="D40" s="5">
        <v>6</v>
      </c>
      <c r="E40" s="5"/>
      <c r="F40" s="5"/>
      <c r="G40" s="5"/>
      <c r="H40" s="5"/>
      <c r="I40" s="5">
        <f t="shared" si="0"/>
        <v>0</v>
      </c>
      <c r="J40" s="21">
        <f t="shared" si="1"/>
        <v>0</v>
      </c>
    </row>
    <row r="41" spans="1:10" ht="15.75" customHeight="1" x14ac:dyDescent="0.35">
      <c r="A41" s="5">
        <v>38</v>
      </c>
      <c r="B41" s="12">
        <v>46246</v>
      </c>
      <c r="C41" s="5" t="s">
        <v>74</v>
      </c>
      <c r="D41" s="5">
        <v>6</v>
      </c>
      <c r="E41" s="5"/>
      <c r="F41" s="5"/>
      <c r="G41" s="5"/>
      <c r="H41" s="5"/>
      <c r="I41" s="5">
        <f t="shared" si="0"/>
        <v>0</v>
      </c>
      <c r="J41" s="21">
        <f t="shared" si="1"/>
        <v>0</v>
      </c>
    </row>
    <row r="42" spans="1:10" ht="15.75" customHeight="1" x14ac:dyDescent="0.35">
      <c r="A42" s="5">
        <v>39</v>
      </c>
      <c r="B42" s="12">
        <v>46247</v>
      </c>
      <c r="C42" s="5" t="s">
        <v>77</v>
      </c>
      <c r="D42" s="5">
        <v>6</v>
      </c>
      <c r="E42" s="5"/>
      <c r="F42" s="5"/>
      <c r="G42" s="5"/>
      <c r="H42" s="5"/>
      <c r="I42" s="5">
        <f t="shared" si="0"/>
        <v>0</v>
      </c>
      <c r="J42" s="21">
        <f t="shared" si="1"/>
        <v>0</v>
      </c>
    </row>
    <row r="43" spans="1:10" ht="15.75" customHeight="1" x14ac:dyDescent="0.35">
      <c r="A43" s="5">
        <v>40</v>
      </c>
      <c r="B43" s="12">
        <v>46248</v>
      </c>
      <c r="C43" s="5" t="s">
        <v>80</v>
      </c>
      <c r="D43" s="5">
        <v>6</v>
      </c>
      <c r="E43" s="5"/>
      <c r="F43" s="5"/>
      <c r="G43" s="5"/>
      <c r="H43" s="5"/>
      <c r="I43" s="5">
        <f t="shared" si="0"/>
        <v>0</v>
      </c>
      <c r="J43" s="21">
        <f t="shared" si="1"/>
        <v>0</v>
      </c>
    </row>
    <row r="44" spans="1:10" ht="15.75" customHeight="1" x14ac:dyDescent="0.35">
      <c r="A44" s="5">
        <v>41</v>
      </c>
      <c r="B44" s="12">
        <v>46249</v>
      </c>
      <c r="C44" s="5" t="s">
        <v>83</v>
      </c>
      <c r="D44" s="5">
        <v>6</v>
      </c>
      <c r="E44" s="5"/>
      <c r="F44" s="5"/>
      <c r="G44" s="5"/>
      <c r="H44" s="5"/>
      <c r="I44" s="5">
        <f t="shared" si="0"/>
        <v>0</v>
      </c>
      <c r="J44" s="21">
        <f t="shared" si="1"/>
        <v>0</v>
      </c>
    </row>
    <row r="45" spans="1:10" ht="15.75" customHeight="1" x14ac:dyDescent="0.35">
      <c r="A45" s="5">
        <v>42</v>
      </c>
      <c r="B45" s="12">
        <v>46250</v>
      </c>
      <c r="C45" s="5" t="s">
        <v>86</v>
      </c>
      <c r="D45" s="5">
        <v>6</v>
      </c>
      <c r="E45" s="5"/>
      <c r="F45" s="5"/>
      <c r="G45" s="5"/>
      <c r="H45" s="5"/>
      <c r="I45" s="5">
        <f t="shared" si="0"/>
        <v>0</v>
      </c>
      <c r="J45" s="21">
        <f t="shared" si="1"/>
        <v>0</v>
      </c>
    </row>
    <row r="46" spans="1:10" ht="15.75" customHeight="1" x14ac:dyDescent="0.35">
      <c r="A46" s="5">
        <v>43</v>
      </c>
      <c r="B46" s="12">
        <v>46251</v>
      </c>
      <c r="C46" s="5" t="s">
        <v>89</v>
      </c>
      <c r="D46" s="5">
        <v>7</v>
      </c>
      <c r="E46" s="5"/>
      <c r="F46" s="5"/>
      <c r="G46" s="5"/>
      <c r="H46" s="5"/>
      <c r="I46" s="5">
        <f t="shared" si="0"/>
        <v>0</v>
      </c>
      <c r="J46" s="21">
        <f t="shared" si="1"/>
        <v>0</v>
      </c>
    </row>
    <row r="47" spans="1:10" ht="15.75" customHeight="1" x14ac:dyDescent="0.35">
      <c r="A47" s="5">
        <v>44</v>
      </c>
      <c r="B47" s="12">
        <v>46252</v>
      </c>
      <c r="C47" s="5" t="s">
        <v>70</v>
      </c>
      <c r="D47" s="5">
        <v>7</v>
      </c>
      <c r="E47" s="5"/>
      <c r="F47" s="5"/>
      <c r="G47" s="5"/>
      <c r="H47" s="5"/>
      <c r="I47" s="5">
        <f t="shared" si="0"/>
        <v>0</v>
      </c>
      <c r="J47" s="21">
        <f t="shared" si="1"/>
        <v>0</v>
      </c>
    </row>
    <row r="48" spans="1:10" ht="15.75" customHeight="1" x14ac:dyDescent="0.35">
      <c r="A48" s="5">
        <v>45</v>
      </c>
      <c r="B48" s="12">
        <v>46253</v>
      </c>
      <c r="C48" s="5" t="s">
        <v>74</v>
      </c>
      <c r="D48" s="5">
        <v>7</v>
      </c>
      <c r="E48" s="5"/>
      <c r="F48" s="5"/>
      <c r="G48" s="5"/>
      <c r="H48" s="5"/>
      <c r="I48" s="5">
        <f t="shared" si="0"/>
        <v>0</v>
      </c>
      <c r="J48" s="21">
        <f t="shared" si="1"/>
        <v>0</v>
      </c>
    </row>
    <row r="49" spans="1:10" ht="15.75" customHeight="1" x14ac:dyDescent="0.35">
      <c r="A49" s="5">
        <v>46</v>
      </c>
      <c r="B49" s="12">
        <v>46254</v>
      </c>
      <c r="C49" s="5" t="s">
        <v>77</v>
      </c>
      <c r="D49" s="5">
        <v>7</v>
      </c>
      <c r="E49" s="5"/>
      <c r="F49" s="5"/>
      <c r="G49" s="5"/>
      <c r="H49" s="5"/>
      <c r="I49" s="5">
        <f t="shared" si="0"/>
        <v>0</v>
      </c>
      <c r="J49" s="21">
        <f t="shared" si="1"/>
        <v>0</v>
      </c>
    </row>
    <row r="50" spans="1:10" ht="15.75" customHeight="1" x14ac:dyDescent="0.35">
      <c r="A50" s="5">
        <v>47</v>
      </c>
      <c r="B50" s="12">
        <v>46255</v>
      </c>
      <c r="C50" s="5" t="s">
        <v>80</v>
      </c>
      <c r="D50" s="5">
        <v>7</v>
      </c>
      <c r="E50" s="5"/>
      <c r="F50" s="5"/>
      <c r="G50" s="5"/>
      <c r="H50" s="5"/>
      <c r="I50" s="5">
        <f t="shared" si="0"/>
        <v>0</v>
      </c>
      <c r="J50" s="21">
        <f t="shared" si="1"/>
        <v>0</v>
      </c>
    </row>
    <row r="51" spans="1:10" ht="15.75" customHeight="1" x14ac:dyDescent="0.35">
      <c r="A51" s="5">
        <v>48</v>
      </c>
      <c r="B51" s="12">
        <v>46256</v>
      </c>
      <c r="C51" s="5" t="s">
        <v>83</v>
      </c>
      <c r="D51" s="5">
        <v>7</v>
      </c>
      <c r="E51" s="5"/>
      <c r="F51" s="5"/>
      <c r="G51" s="5"/>
      <c r="H51" s="5"/>
      <c r="I51" s="5">
        <f t="shared" si="0"/>
        <v>0</v>
      </c>
      <c r="J51" s="21">
        <f t="shared" si="1"/>
        <v>0</v>
      </c>
    </row>
    <row r="52" spans="1:10" ht="15.75" customHeight="1" x14ac:dyDescent="0.35">
      <c r="A52" s="5">
        <v>49</v>
      </c>
      <c r="B52" s="12">
        <v>46257</v>
      </c>
      <c r="C52" s="5" t="s">
        <v>86</v>
      </c>
      <c r="D52" s="5">
        <v>7</v>
      </c>
      <c r="E52" s="5"/>
      <c r="F52" s="5"/>
      <c r="G52" s="5"/>
      <c r="H52" s="5"/>
      <c r="I52" s="5">
        <f t="shared" si="0"/>
        <v>0</v>
      </c>
      <c r="J52" s="21">
        <f t="shared" si="1"/>
        <v>0</v>
      </c>
    </row>
    <row r="53" spans="1:10" ht="15.75" customHeight="1" x14ac:dyDescent="0.35">
      <c r="A53" s="5">
        <v>50</v>
      </c>
      <c r="B53" s="12">
        <v>46258</v>
      </c>
      <c r="C53" s="5" t="s">
        <v>89</v>
      </c>
      <c r="D53" s="5">
        <v>8</v>
      </c>
      <c r="E53" s="5"/>
      <c r="F53" s="5"/>
      <c r="G53" s="5"/>
      <c r="H53" s="5"/>
      <c r="I53" s="5">
        <f t="shared" si="0"/>
        <v>0</v>
      </c>
      <c r="J53" s="21">
        <f t="shared" si="1"/>
        <v>0</v>
      </c>
    </row>
    <row r="54" spans="1:10" ht="15.75" customHeight="1" x14ac:dyDescent="0.35">
      <c r="A54" s="5">
        <v>51</v>
      </c>
      <c r="B54" s="12">
        <v>46259</v>
      </c>
      <c r="C54" s="5" t="s">
        <v>70</v>
      </c>
      <c r="D54" s="5">
        <v>8</v>
      </c>
      <c r="E54" s="5"/>
      <c r="F54" s="5"/>
      <c r="G54" s="5"/>
      <c r="H54" s="5"/>
      <c r="I54" s="5">
        <f t="shared" si="0"/>
        <v>0</v>
      </c>
      <c r="J54" s="21">
        <f t="shared" si="1"/>
        <v>0</v>
      </c>
    </row>
    <row r="55" spans="1:10" ht="15.75" customHeight="1" x14ac:dyDescent="0.35">
      <c r="A55" s="5">
        <v>52</v>
      </c>
      <c r="B55" s="12">
        <v>46260</v>
      </c>
      <c r="C55" s="5" t="s">
        <v>74</v>
      </c>
      <c r="D55" s="5">
        <v>8</v>
      </c>
      <c r="E55" s="5"/>
      <c r="F55" s="5"/>
      <c r="G55" s="5"/>
      <c r="H55" s="5"/>
      <c r="I55" s="5">
        <f t="shared" si="0"/>
        <v>0</v>
      </c>
      <c r="J55" s="21">
        <f t="shared" si="1"/>
        <v>0</v>
      </c>
    </row>
    <row r="56" spans="1:10" ht="15.75" customHeight="1" x14ac:dyDescent="0.35">
      <c r="A56" s="5">
        <v>53</v>
      </c>
      <c r="B56" s="12">
        <v>46261</v>
      </c>
      <c r="C56" s="5" t="s">
        <v>77</v>
      </c>
      <c r="D56" s="5">
        <v>8</v>
      </c>
      <c r="E56" s="5"/>
      <c r="F56" s="5"/>
      <c r="G56" s="5"/>
      <c r="H56" s="5"/>
      <c r="I56" s="5">
        <f t="shared" si="0"/>
        <v>0</v>
      </c>
      <c r="J56" s="21">
        <f t="shared" si="1"/>
        <v>0</v>
      </c>
    </row>
    <row r="57" spans="1:10" ht="15.75" customHeight="1" x14ac:dyDescent="0.35">
      <c r="A57" s="5">
        <v>54</v>
      </c>
      <c r="B57" s="12">
        <v>46262</v>
      </c>
      <c r="C57" s="5" t="s">
        <v>80</v>
      </c>
      <c r="D57" s="5">
        <v>8</v>
      </c>
      <c r="E57" s="5"/>
      <c r="F57" s="5"/>
      <c r="G57" s="5"/>
      <c r="H57" s="5"/>
      <c r="I57" s="5">
        <f t="shared" si="0"/>
        <v>0</v>
      </c>
      <c r="J57" s="21">
        <f t="shared" si="1"/>
        <v>0</v>
      </c>
    </row>
    <row r="58" spans="1:10" ht="15.75" customHeight="1" x14ac:dyDescent="0.35">
      <c r="A58" s="5">
        <v>55</v>
      </c>
      <c r="B58" s="12">
        <v>46263</v>
      </c>
      <c r="C58" s="5" t="s">
        <v>83</v>
      </c>
      <c r="D58" s="5">
        <v>8</v>
      </c>
      <c r="E58" s="5"/>
      <c r="F58" s="5"/>
      <c r="G58" s="5"/>
      <c r="H58" s="5"/>
      <c r="I58" s="5">
        <f t="shared" si="0"/>
        <v>0</v>
      </c>
      <c r="J58" s="21">
        <f t="shared" si="1"/>
        <v>0</v>
      </c>
    </row>
    <row r="59" spans="1:10" ht="15.75" customHeight="1" x14ac:dyDescent="0.35">
      <c r="A59" s="5">
        <v>56</v>
      </c>
      <c r="B59" s="12">
        <v>46264</v>
      </c>
      <c r="C59" s="5" t="s">
        <v>86</v>
      </c>
      <c r="D59" s="5">
        <v>8</v>
      </c>
      <c r="E59" s="5"/>
      <c r="F59" s="5"/>
      <c r="G59" s="5"/>
      <c r="H59" s="5"/>
      <c r="I59" s="5">
        <f t="shared" si="0"/>
        <v>0</v>
      </c>
      <c r="J59" s="21">
        <f t="shared" si="1"/>
        <v>0</v>
      </c>
    </row>
    <row r="60" spans="1:10" ht="15.75" customHeight="1" x14ac:dyDescent="0.35">
      <c r="A60" s="5">
        <v>57</v>
      </c>
      <c r="B60" s="12">
        <v>46265</v>
      </c>
      <c r="C60" s="5" t="s">
        <v>89</v>
      </c>
      <c r="D60" s="5">
        <v>9</v>
      </c>
      <c r="E60" s="5"/>
      <c r="F60" s="5"/>
      <c r="G60" s="5"/>
      <c r="H60" s="5"/>
      <c r="I60" s="5">
        <f t="shared" si="0"/>
        <v>0</v>
      </c>
      <c r="J60" s="21">
        <f t="shared" si="1"/>
        <v>0</v>
      </c>
    </row>
    <row r="61" spans="1:10" ht="15.75" customHeight="1" x14ac:dyDescent="0.35">
      <c r="A61" s="5">
        <v>58</v>
      </c>
      <c r="B61" s="12">
        <v>46266</v>
      </c>
      <c r="C61" s="5" t="s">
        <v>70</v>
      </c>
      <c r="D61" s="5">
        <v>9</v>
      </c>
      <c r="E61" s="5"/>
      <c r="F61" s="5"/>
      <c r="G61" s="5"/>
      <c r="H61" s="5"/>
      <c r="I61" s="5">
        <f t="shared" si="0"/>
        <v>0</v>
      </c>
      <c r="J61" s="21">
        <f t="shared" si="1"/>
        <v>0</v>
      </c>
    </row>
    <row r="62" spans="1:10" ht="15.75" customHeight="1" x14ac:dyDescent="0.35">
      <c r="A62" s="5">
        <v>59</v>
      </c>
      <c r="B62" s="12">
        <v>46267</v>
      </c>
      <c r="C62" s="5" t="s">
        <v>74</v>
      </c>
      <c r="D62" s="5">
        <v>9</v>
      </c>
      <c r="E62" s="5"/>
      <c r="F62" s="5"/>
      <c r="G62" s="5"/>
      <c r="H62" s="5"/>
      <c r="I62" s="5">
        <f t="shared" si="0"/>
        <v>0</v>
      </c>
      <c r="J62" s="21">
        <f t="shared" si="1"/>
        <v>0</v>
      </c>
    </row>
    <row r="63" spans="1:10" ht="15.75" customHeight="1" x14ac:dyDescent="0.35">
      <c r="A63" s="5">
        <v>60</v>
      </c>
      <c r="B63" s="12">
        <v>46268</v>
      </c>
      <c r="C63" s="5" t="s">
        <v>77</v>
      </c>
      <c r="D63" s="5">
        <v>9</v>
      </c>
      <c r="E63" s="5"/>
      <c r="F63" s="5"/>
      <c r="G63" s="5"/>
      <c r="H63" s="5"/>
      <c r="I63" s="5">
        <f t="shared" si="0"/>
        <v>0</v>
      </c>
      <c r="J63" s="21">
        <f t="shared" si="1"/>
        <v>0</v>
      </c>
    </row>
    <row r="64" spans="1:10" ht="15.75" customHeight="1" x14ac:dyDescent="0.35">
      <c r="A64" s="5">
        <v>61</v>
      </c>
      <c r="B64" s="12">
        <v>46269</v>
      </c>
      <c r="C64" s="5" t="s">
        <v>80</v>
      </c>
      <c r="D64" s="5">
        <v>9</v>
      </c>
      <c r="E64" s="5"/>
      <c r="F64" s="5"/>
      <c r="G64" s="5"/>
      <c r="H64" s="5"/>
      <c r="I64" s="5">
        <f t="shared" si="0"/>
        <v>0</v>
      </c>
      <c r="J64" s="21">
        <f t="shared" si="1"/>
        <v>0</v>
      </c>
    </row>
    <row r="65" spans="1:10" ht="15.75" customHeight="1" x14ac:dyDescent="0.35">
      <c r="A65" s="5">
        <v>62</v>
      </c>
      <c r="B65" s="12">
        <v>46270</v>
      </c>
      <c r="C65" s="5" t="s">
        <v>83</v>
      </c>
      <c r="D65" s="5">
        <v>9</v>
      </c>
      <c r="E65" s="5"/>
      <c r="F65" s="5"/>
      <c r="G65" s="5"/>
      <c r="H65" s="5"/>
      <c r="I65" s="5">
        <f t="shared" si="0"/>
        <v>0</v>
      </c>
      <c r="J65" s="21">
        <f t="shared" si="1"/>
        <v>0</v>
      </c>
    </row>
    <row r="66" spans="1:10" ht="15.75" customHeight="1" x14ac:dyDescent="0.35">
      <c r="A66" s="5">
        <v>63</v>
      </c>
      <c r="B66" s="12">
        <v>46271</v>
      </c>
      <c r="C66" s="5" t="s">
        <v>86</v>
      </c>
      <c r="D66" s="5">
        <v>9</v>
      </c>
      <c r="E66" s="5"/>
      <c r="F66" s="5"/>
      <c r="G66" s="5"/>
      <c r="H66" s="5"/>
      <c r="I66" s="5">
        <f t="shared" si="0"/>
        <v>0</v>
      </c>
      <c r="J66" s="21">
        <f t="shared" si="1"/>
        <v>0</v>
      </c>
    </row>
    <row r="67" spans="1:10" ht="15.75" customHeight="1" x14ac:dyDescent="0.35">
      <c r="A67" s="5">
        <v>64</v>
      </c>
      <c r="B67" s="12">
        <v>46272</v>
      </c>
      <c r="C67" s="5" t="s">
        <v>89</v>
      </c>
      <c r="D67" s="5">
        <v>10</v>
      </c>
      <c r="E67" s="5"/>
      <c r="F67" s="5"/>
      <c r="G67" s="5"/>
      <c r="H67" s="5"/>
      <c r="I67" s="5">
        <f t="shared" si="0"/>
        <v>0</v>
      </c>
      <c r="J67" s="21">
        <f t="shared" si="1"/>
        <v>0</v>
      </c>
    </row>
    <row r="68" spans="1:10" ht="15.75" customHeight="1" x14ac:dyDescent="0.35">
      <c r="A68" s="5">
        <v>65</v>
      </c>
      <c r="B68" s="12">
        <v>46273</v>
      </c>
      <c r="C68" s="5" t="s">
        <v>70</v>
      </c>
      <c r="D68" s="5">
        <v>10</v>
      </c>
      <c r="E68" s="5"/>
      <c r="F68" s="5"/>
      <c r="G68" s="5"/>
      <c r="H68" s="5"/>
      <c r="I68" s="5">
        <f t="shared" si="0"/>
        <v>0</v>
      </c>
      <c r="J68" s="21">
        <f t="shared" si="1"/>
        <v>0</v>
      </c>
    </row>
    <row r="69" spans="1:10" ht="15.75" customHeight="1" x14ac:dyDescent="0.35">
      <c r="A69" s="5">
        <v>66</v>
      </c>
      <c r="B69" s="12">
        <v>46274</v>
      </c>
      <c r="C69" s="5" t="s">
        <v>74</v>
      </c>
      <c r="D69" s="5">
        <v>10</v>
      </c>
      <c r="E69" s="5"/>
      <c r="F69" s="5"/>
      <c r="G69" s="5"/>
      <c r="H69" s="5"/>
      <c r="I69" s="5">
        <f t="shared" si="0"/>
        <v>0</v>
      </c>
      <c r="J69" s="21">
        <f t="shared" si="1"/>
        <v>0</v>
      </c>
    </row>
    <row r="70" spans="1:10" ht="15.75" customHeight="1" x14ac:dyDescent="0.35">
      <c r="A70" s="5">
        <v>67</v>
      </c>
      <c r="B70" s="12">
        <v>46275</v>
      </c>
      <c r="C70" s="5" t="s">
        <v>77</v>
      </c>
      <c r="D70" s="5">
        <v>10</v>
      </c>
      <c r="E70" s="5"/>
      <c r="F70" s="5"/>
      <c r="G70" s="5"/>
      <c r="H70" s="5"/>
      <c r="I70" s="5">
        <f t="shared" si="0"/>
        <v>0</v>
      </c>
      <c r="J70" s="21">
        <f t="shared" si="1"/>
        <v>0</v>
      </c>
    </row>
    <row r="71" spans="1:10" ht="15.75" customHeight="1" x14ac:dyDescent="0.35">
      <c r="A71" s="5">
        <v>68</v>
      </c>
      <c r="B71" s="12">
        <v>46276</v>
      </c>
      <c r="C71" s="5" t="s">
        <v>80</v>
      </c>
      <c r="D71" s="5">
        <v>10</v>
      </c>
      <c r="E71" s="5"/>
      <c r="F71" s="5"/>
      <c r="G71" s="5"/>
      <c r="H71" s="5"/>
      <c r="I71" s="5">
        <f t="shared" si="0"/>
        <v>0</v>
      </c>
      <c r="J71" s="21">
        <f t="shared" si="1"/>
        <v>0</v>
      </c>
    </row>
    <row r="72" spans="1:10" ht="15.75" customHeight="1" x14ac:dyDescent="0.35">
      <c r="A72" s="5">
        <v>69</v>
      </c>
      <c r="B72" s="12">
        <v>46277</v>
      </c>
      <c r="C72" s="5" t="s">
        <v>83</v>
      </c>
      <c r="D72" s="5">
        <v>10</v>
      </c>
      <c r="E72" s="5"/>
      <c r="F72" s="5"/>
      <c r="G72" s="5"/>
      <c r="H72" s="5"/>
      <c r="I72" s="5">
        <f t="shared" si="0"/>
        <v>0</v>
      </c>
      <c r="J72" s="21">
        <f t="shared" si="1"/>
        <v>0</v>
      </c>
    </row>
    <row r="73" spans="1:10" ht="15.75" customHeight="1" x14ac:dyDescent="0.35">
      <c r="A73" s="5">
        <v>70</v>
      </c>
      <c r="B73" s="12">
        <v>46278</v>
      </c>
      <c r="C73" s="5" t="s">
        <v>86</v>
      </c>
      <c r="D73" s="5">
        <v>10</v>
      </c>
      <c r="E73" s="5"/>
      <c r="F73" s="5"/>
      <c r="G73" s="5"/>
      <c r="H73" s="5"/>
      <c r="I73" s="5">
        <f t="shared" si="0"/>
        <v>0</v>
      </c>
      <c r="J73" s="21">
        <f t="shared" si="1"/>
        <v>0</v>
      </c>
    </row>
    <row r="74" spans="1:10" ht="15.75" customHeight="1" x14ac:dyDescent="0.35">
      <c r="A74" s="5">
        <v>71</v>
      </c>
      <c r="B74" s="12">
        <v>46279</v>
      </c>
      <c r="C74" s="5" t="s">
        <v>89</v>
      </c>
      <c r="D74" s="5">
        <v>11</v>
      </c>
      <c r="E74" s="5"/>
      <c r="F74" s="5"/>
      <c r="G74" s="5"/>
      <c r="H74" s="5"/>
      <c r="I74" s="5">
        <f t="shared" si="0"/>
        <v>0</v>
      </c>
      <c r="J74" s="21">
        <f t="shared" si="1"/>
        <v>0</v>
      </c>
    </row>
    <row r="75" spans="1:10" ht="15.75" customHeight="1" x14ac:dyDescent="0.35">
      <c r="A75" s="5">
        <v>72</v>
      </c>
      <c r="B75" s="12">
        <v>46280</v>
      </c>
      <c r="C75" s="5" t="s">
        <v>70</v>
      </c>
      <c r="D75" s="5">
        <v>11</v>
      </c>
      <c r="E75" s="5"/>
      <c r="F75" s="5"/>
      <c r="G75" s="5"/>
      <c r="H75" s="5"/>
      <c r="I75" s="5">
        <f t="shared" si="0"/>
        <v>0</v>
      </c>
      <c r="J75" s="21">
        <f t="shared" si="1"/>
        <v>0</v>
      </c>
    </row>
    <row r="76" spans="1:10" ht="15.75" customHeight="1" x14ac:dyDescent="0.35">
      <c r="A76" s="5">
        <v>73</v>
      </c>
      <c r="B76" s="12">
        <v>46281</v>
      </c>
      <c r="C76" s="5" t="s">
        <v>74</v>
      </c>
      <c r="D76" s="5">
        <v>11</v>
      </c>
      <c r="E76" s="5"/>
      <c r="F76" s="5"/>
      <c r="G76" s="5"/>
      <c r="H76" s="5"/>
      <c r="I76" s="5">
        <f t="shared" si="0"/>
        <v>0</v>
      </c>
      <c r="J76" s="21">
        <f t="shared" si="1"/>
        <v>0</v>
      </c>
    </row>
    <row r="77" spans="1:10" ht="15.75" customHeight="1" x14ac:dyDescent="0.35">
      <c r="A77" s="5">
        <v>74</v>
      </c>
      <c r="B77" s="12">
        <v>46282</v>
      </c>
      <c r="C77" s="5" t="s">
        <v>77</v>
      </c>
      <c r="D77" s="5">
        <v>11</v>
      </c>
      <c r="E77" s="5"/>
      <c r="F77" s="5"/>
      <c r="G77" s="5"/>
      <c r="H77" s="5"/>
      <c r="I77" s="5">
        <f t="shared" si="0"/>
        <v>0</v>
      </c>
      <c r="J77" s="21">
        <f t="shared" si="1"/>
        <v>0</v>
      </c>
    </row>
    <row r="78" spans="1:10" ht="15.75" customHeight="1" x14ac:dyDescent="0.35">
      <c r="A78" s="5">
        <v>75</v>
      </c>
      <c r="B78" s="12">
        <v>46283</v>
      </c>
      <c r="C78" s="5" t="s">
        <v>80</v>
      </c>
      <c r="D78" s="5">
        <v>11</v>
      </c>
      <c r="E78" s="5"/>
      <c r="F78" s="5"/>
      <c r="G78" s="5"/>
      <c r="H78" s="5"/>
      <c r="I78" s="5">
        <f t="shared" si="0"/>
        <v>0</v>
      </c>
      <c r="J78" s="21">
        <f t="shared" si="1"/>
        <v>0</v>
      </c>
    </row>
    <row r="79" spans="1:10" ht="15.75" customHeight="1" x14ac:dyDescent="0.35">
      <c r="A79" s="5">
        <v>76</v>
      </c>
      <c r="B79" s="12">
        <v>46284</v>
      </c>
      <c r="C79" s="5" t="s">
        <v>83</v>
      </c>
      <c r="D79" s="5">
        <v>11</v>
      </c>
      <c r="E79" s="5"/>
      <c r="F79" s="5"/>
      <c r="G79" s="5"/>
      <c r="H79" s="5"/>
      <c r="I79" s="5">
        <f t="shared" si="0"/>
        <v>0</v>
      </c>
      <c r="J79" s="21">
        <f t="shared" si="1"/>
        <v>0</v>
      </c>
    </row>
    <row r="80" spans="1:10" ht="15.75" customHeight="1" x14ac:dyDescent="0.35">
      <c r="A80" s="5">
        <v>77</v>
      </c>
      <c r="B80" s="12">
        <v>46285</v>
      </c>
      <c r="C80" s="5" t="s">
        <v>86</v>
      </c>
      <c r="D80" s="5">
        <v>11</v>
      </c>
      <c r="E80" s="5"/>
      <c r="F80" s="5"/>
      <c r="G80" s="5"/>
      <c r="H80" s="5"/>
      <c r="I80" s="5">
        <f t="shared" si="0"/>
        <v>0</v>
      </c>
      <c r="J80" s="21">
        <f t="shared" si="1"/>
        <v>0</v>
      </c>
    </row>
    <row r="81" spans="1:10" ht="15.75" customHeight="1" x14ac:dyDescent="0.35">
      <c r="A81" s="5">
        <v>78</v>
      </c>
      <c r="B81" s="12">
        <v>46286</v>
      </c>
      <c r="C81" s="5" t="s">
        <v>89</v>
      </c>
      <c r="D81" s="5">
        <v>12</v>
      </c>
      <c r="E81" s="5"/>
      <c r="F81" s="5"/>
      <c r="G81" s="5"/>
      <c r="H81" s="5"/>
      <c r="I81" s="5">
        <f t="shared" si="0"/>
        <v>0</v>
      </c>
      <c r="J81" s="21">
        <f t="shared" si="1"/>
        <v>0</v>
      </c>
    </row>
    <row r="82" spans="1:10" ht="15.75" customHeight="1" x14ac:dyDescent="0.35">
      <c r="A82" s="5">
        <v>79</v>
      </c>
      <c r="B82" s="12">
        <v>46287</v>
      </c>
      <c r="C82" s="5" t="s">
        <v>70</v>
      </c>
      <c r="D82" s="5">
        <v>12</v>
      </c>
      <c r="E82" s="5"/>
      <c r="F82" s="5"/>
      <c r="G82" s="5"/>
      <c r="H82" s="5"/>
      <c r="I82" s="5">
        <f t="shared" si="0"/>
        <v>0</v>
      </c>
      <c r="J82" s="21">
        <f t="shared" si="1"/>
        <v>0</v>
      </c>
    </row>
    <row r="83" spans="1:10" ht="15.75" customHeight="1" x14ac:dyDescent="0.35">
      <c r="A83" s="5">
        <v>80</v>
      </c>
      <c r="B83" s="12">
        <v>46288</v>
      </c>
      <c r="C83" s="5" t="s">
        <v>74</v>
      </c>
      <c r="D83" s="5">
        <v>12</v>
      </c>
      <c r="E83" s="5"/>
      <c r="F83" s="5"/>
      <c r="G83" s="5"/>
      <c r="H83" s="5"/>
      <c r="I83" s="5">
        <f t="shared" si="0"/>
        <v>0</v>
      </c>
      <c r="J83" s="21">
        <f t="shared" si="1"/>
        <v>0</v>
      </c>
    </row>
    <row r="84" spans="1:10" ht="15.75" customHeight="1" x14ac:dyDescent="0.35">
      <c r="A84" s="5">
        <v>81</v>
      </c>
      <c r="B84" s="12">
        <v>46289</v>
      </c>
      <c r="C84" s="5" t="s">
        <v>77</v>
      </c>
      <c r="D84" s="5">
        <v>12</v>
      </c>
      <c r="E84" s="5"/>
      <c r="F84" s="5"/>
      <c r="G84" s="5"/>
      <c r="H84" s="5"/>
      <c r="I84" s="5">
        <f t="shared" si="0"/>
        <v>0</v>
      </c>
      <c r="J84" s="21">
        <f t="shared" si="1"/>
        <v>0</v>
      </c>
    </row>
    <row r="85" spans="1:10" ht="15.75" customHeight="1" x14ac:dyDescent="0.35">
      <c r="A85" s="5">
        <v>82</v>
      </c>
      <c r="B85" s="12">
        <v>46290</v>
      </c>
      <c r="C85" s="5" t="s">
        <v>80</v>
      </c>
      <c r="D85" s="5">
        <v>12</v>
      </c>
      <c r="E85" s="5"/>
      <c r="F85" s="5"/>
      <c r="G85" s="5"/>
      <c r="H85" s="5"/>
      <c r="I85" s="5">
        <f t="shared" si="0"/>
        <v>0</v>
      </c>
      <c r="J85" s="21">
        <f t="shared" si="1"/>
        <v>0</v>
      </c>
    </row>
    <row r="86" spans="1:10" ht="15.75" customHeight="1" x14ac:dyDescent="0.35">
      <c r="A86" s="5">
        <v>83</v>
      </c>
      <c r="B86" s="12">
        <v>46291</v>
      </c>
      <c r="C86" s="5" t="s">
        <v>83</v>
      </c>
      <c r="D86" s="5">
        <v>12</v>
      </c>
      <c r="E86" s="5"/>
      <c r="F86" s="5"/>
      <c r="G86" s="5"/>
      <c r="H86" s="5"/>
      <c r="I86" s="5">
        <f t="shared" si="0"/>
        <v>0</v>
      </c>
      <c r="J86" s="21">
        <f t="shared" si="1"/>
        <v>0</v>
      </c>
    </row>
    <row r="87" spans="1:10" ht="15.75" customHeight="1" x14ac:dyDescent="0.35">
      <c r="A87" s="5">
        <v>84</v>
      </c>
      <c r="B87" s="12">
        <v>46292</v>
      </c>
      <c r="C87" s="5" t="s">
        <v>86</v>
      </c>
      <c r="D87" s="5">
        <v>12</v>
      </c>
      <c r="E87" s="5"/>
      <c r="F87" s="5"/>
      <c r="G87" s="5"/>
      <c r="H87" s="5"/>
      <c r="I87" s="5">
        <f t="shared" si="0"/>
        <v>0</v>
      </c>
      <c r="J87" s="21">
        <f t="shared" si="1"/>
        <v>0</v>
      </c>
    </row>
    <row r="88" spans="1:10" ht="15.75" customHeight="1" x14ac:dyDescent="0.35"/>
    <row r="89" spans="1:10" ht="15.75" customHeight="1" x14ac:dyDescent="0.35"/>
    <row r="90" spans="1:10" ht="15.75" customHeight="1" x14ac:dyDescent="0.35"/>
    <row r="91" spans="1:10" ht="15.75" customHeight="1" x14ac:dyDescent="0.35"/>
    <row r="92" spans="1:10" ht="15.75" customHeight="1" x14ac:dyDescent="0.35"/>
    <row r="93" spans="1:10" ht="15.75" customHeight="1" x14ac:dyDescent="0.35"/>
    <row r="94" spans="1:10" ht="15.75" customHeight="1" x14ac:dyDescent="0.35"/>
    <row r="95" spans="1:10" ht="15.75" customHeight="1" x14ac:dyDescent="0.35"/>
    <row r="96" spans="1:10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2">
    <mergeCell ref="A1:J1"/>
    <mergeCell ref="A2:J2"/>
  </mergeCells>
  <phoneticPr fontId="10"/>
  <conditionalFormatting sqref="J5:J87">
    <cfRule type="cellIs" dxfId="2" priority="1" operator="greaterThanOrEqual">
      <formula>1</formula>
    </cfRule>
    <cfRule type="expression" dxfId="1" priority="2">
      <formula>AND(J5&gt;0,J5&lt;0.5)</formula>
    </cfRule>
    <cfRule type="expression" dxfId="0" priority="3">
      <formula>AND(J5&gt;=0.5,J5&lt;1)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sqref="A1:G1"/>
    </sheetView>
  </sheetViews>
  <sheetFormatPr defaultColWidth="14.453125" defaultRowHeight="15" customHeight="1" x14ac:dyDescent="0.35"/>
  <cols>
    <col min="1" max="1" width="12" customWidth="1"/>
    <col min="2" max="2" width="32" customWidth="1"/>
    <col min="3" max="3" width="10" customWidth="1"/>
    <col min="4" max="4" width="12" customWidth="1"/>
    <col min="5" max="5" width="8" customWidth="1"/>
    <col min="6" max="7" width="40" customWidth="1"/>
    <col min="8" max="26" width="8.7265625" customWidth="1"/>
  </cols>
  <sheetData>
    <row r="1" spans="1:7" ht="20" x14ac:dyDescent="0.4">
      <c r="A1" s="32" t="s">
        <v>250</v>
      </c>
      <c r="B1" s="31"/>
      <c r="C1" s="31"/>
      <c r="D1" s="31"/>
      <c r="E1" s="31"/>
      <c r="F1" s="31"/>
      <c r="G1" s="31"/>
    </row>
    <row r="2" spans="1:7" ht="14.5" x14ac:dyDescent="0.35">
      <c r="A2" s="35" t="s">
        <v>251</v>
      </c>
      <c r="B2" s="31"/>
      <c r="C2" s="31"/>
      <c r="D2" s="31"/>
      <c r="E2" s="31"/>
      <c r="F2" s="31"/>
      <c r="G2" s="31"/>
    </row>
    <row r="4" spans="1:7" ht="14.5" x14ac:dyDescent="0.35">
      <c r="A4" s="4" t="s">
        <v>15</v>
      </c>
      <c r="B4" s="4" t="s">
        <v>252</v>
      </c>
      <c r="C4" s="4" t="s">
        <v>253</v>
      </c>
      <c r="D4" s="4" t="s">
        <v>254</v>
      </c>
      <c r="E4" s="4" t="s">
        <v>255</v>
      </c>
      <c r="F4" s="4" t="s">
        <v>256</v>
      </c>
      <c r="G4" s="4" t="s">
        <v>257</v>
      </c>
    </row>
    <row r="5" spans="1:7" ht="36" customHeight="1" x14ac:dyDescent="0.35">
      <c r="A5" s="5"/>
      <c r="B5" s="5" t="s">
        <v>258</v>
      </c>
      <c r="C5" s="21"/>
      <c r="D5" s="21">
        <v>0.65</v>
      </c>
      <c r="E5" s="5" t="str">
        <f t="shared" ref="E5:E10" si="0">IF(C5="","",IF(C5&gt;=D5,"ĐẬU","CHƯA"))</f>
        <v/>
      </c>
      <c r="F5" s="8"/>
      <c r="G5" s="8"/>
    </row>
    <row r="6" spans="1:7" ht="36" customHeight="1" x14ac:dyDescent="0.35">
      <c r="A6" s="5"/>
      <c r="B6" s="5" t="s">
        <v>259</v>
      </c>
      <c r="C6" s="21"/>
      <c r="D6" s="21">
        <v>0.7</v>
      </c>
      <c r="E6" s="5" t="str">
        <f t="shared" si="0"/>
        <v/>
      </c>
      <c r="F6" s="8"/>
      <c r="G6" s="8"/>
    </row>
    <row r="7" spans="1:7" ht="36" customHeight="1" x14ac:dyDescent="0.35">
      <c r="A7" s="5"/>
      <c r="B7" s="5" t="s">
        <v>260</v>
      </c>
      <c r="C7" s="21"/>
      <c r="D7" s="21">
        <v>0.75</v>
      </c>
      <c r="E7" s="5" t="str">
        <f t="shared" si="0"/>
        <v/>
      </c>
      <c r="F7" s="8"/>
      <c r="G7" s="8"/>
    </row>
    <row r="8" spans="1:7" ht="36" customHeight="1" x14ac:dyDescent="0.35">
      <c r="A8" s="5"/>
      <c r="B8" s="5" t="s">
        <v>261</v>
      </c>
      <c r="C8" s="21"/>
      <c r="D8" s="21">
        <v>0.78</v>
      </c>
      <c r="E8" s="5" t="str">
        <f t="shared" si="0"/>
        <v/>
      </c>
      <c r="F8" s="8"/>
      <c r="G8" s="8"/>
    </row>
    <row r="9" spans="1:7" ht="36" customHeight="1" x14ac:dyDescent="0.35">
      <c r="A9" s="5"/>
      <c r="B9" s="5" t="s">
        <v>262</v>
      </c>
      <c r="C9" s="21"/>
      <c r="D9" s="21">
        <v>0.8</v>
      </c>
      <c r="E9" s="5" t="str">
        <f t="shared" si="0"/>
        <v/>
      </c>
      <c r="F9" s="8"/>
      <c r="G9" s="8"/>
    </row>
    <row r="10" spans="1:7" ht="36" customHeight="1" x14ac:dyDescent="0.35">
      <c r="A10" s="5"/>
      <c r="B10" s="5" t="s">
        <v>263</v>
      </c>
      <c r="C10" s="21"/>
      <c r="D10" s="21">
        <v>0.85</v>
      </c>
      <c r="E10" s="5" t="str">
        <f t="shared" si="0"/>
        <v/>
      </c>
      <c r="F10" s="8"/>
      <c r="G10" s="8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G1"/>
    <mergeCell ref="A2:G2"/>
  </mergeCells>
  <phoneticPr fontId="10"/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sqref="A1:H1"/>
    </sheetView>
  </sheetViews>
  <sheetFormatPr defaultColWidth="14.453125" defaultRowHeight="15" customHeight="1" x14ac:dyDescent="0.35"/>
  <cols>
    <col min="1" max="1" width="8" customWidth="1"/>
    <col min="2" max="4" width="11" customWidth="1"/>
    <col min="5" max="5" width="10" customWidth="1"/>
    <col min="6" max="6" width="12" customWidth="1"/>
    <col min="7" max="7" width="13" customWidth="1"/>
    <col min="8" max="8" width="11" customWidth="1"/>
    <col min="9" max="26" width="8.7265625" customWidth="1"/>
  </cols>
  <sheetData>
    <row r="1" spans="1:8" ht="20" x14ac:dyDescent="0.4">
      <c r="A1" s="32" t="s">
        <v>264</v>
      </c>
      <c r="B1" s="31"/>
      <c r="C1" s="31"/>
      <c r="D1" s="31"/>
      <c r="E1" s="31"/>
      <c r="F1" s="31"/>
      <c r="G1" s="31"/>
      <c r="H1" s="31"/>
    </row>
    <row r="2" spans="1:8" ht="14.5" x14ac:dyDescent="0.35">
      <c r="A2" s="35" t="s">
        <v>265</v>
      </c>
      <c r="B2" s="31"/>
      <c r="C2" s="31"/>
      <c r="D2" s="31"/>
      <c r="E2" s="31"/>
      <c r="F2" s="31"/>
      <c r="G2" s="31"/>
      <c r="H2" s="31"/>
    </row>
    <row r="4" spans="1:8" ht="14.5" x14ac:dyDescent="0.35">
      <c r="A4" s="22" t="s">
        <v>266</v>
      </c>
      <c r="B4" s="22" t="s">
        <v>267</v>
      </c>
      <c r="C4" s="22" t="s">
        <v>268</v>
      </c>
      <c r="D4" s="22" t="s">
        <v>269</v>
      </c>
      <c r="E4" s="22" t="s">
        <v>270</v>
      </c>
      <c r="F4" s="22" t="s">
        <v>271</v>
      </c>
      <c r="G4" s="22" t="s">
        <v>272</v>
      </c>
      <c r="H4" s="22" t="s">
        <v>273</v>
      </c>
    </row>
    <row r="5" spans="1:8" ht="14.5" x14ac:dyDescent="0.35">
      <c r="A5" s="5">
        <v>1</v>
      </c>
      <c r="B5" s="5">
        <f>SUMIFS('Nhật ký học'!$E$5:$E$87,'Nhật ký học'!$D$5:$D$87,A5)+SUMIFS('Nhật ký học'!$F$5:$F$87,'Nhật ký học'!$D$5:$D$87,A5)</f>
        <v>0</v>
      </c>
      <c r="C5" s="5">
        <f>SUMIFS('Nhật ký học'!$G$5:$G$87,'Nhật ký học'!$D$5:$D$87,A5)+SUMIFS('Nhật ký học'!$H$5:$H$87,'Nhật ký học'!$D$5:$D$87,A5)</f>
        <v>0</v>
      </c>
      <c r="D5" s="5">
        <f t="shared" ref="D5:D16" si="0">B5+C5</f>
        <v>0</v>
      </c>
      <c r="E5" s="5">
        <f t="shared" ref="E5:E16" si="1">ROUND(D5/60,1)</f>
        <v>0</v>
      </c>
      <c r="F5" s="5">
        <f>COUNTIFS('Nhật ký học'!$D$5:$D$87,A5,'Nhật ký học'!$I$5:$I$87,"&gt;0")</f>
        <v>0</v>
      </c>
      <c r="G5" s="23">
        <f t="shared" ref="G5:G16" si="2">IF(F5=0,0,D5/F5)</f>
        <v>0</v>
      </c>
      <c r="H5" s="5">
        <f>COUNTIFS('Kế hoạch chi tiết'!$D$5:$D$87,A5,'Kế hoạch chi tiết'!$I$5:$I$87,"Xong")</f>
        <v>0</v>
      </c>
    </row>
    <row r="6" spans="1:8" ht="14.5" x14ac:dyDescent="0.35">
      <c r="A6" s="5">
        <v>2</v>
      </c>
      <c r="B6" s="5">
        <f>SUMIFS('Nhật ký học'!$E$5:$E$87,'Nhật ký học'!$D$5:$D$87,A6)+SUMIFS('Nhật ký học'!$F$5:$F$87,'Nhật ký học'!$D$5:$D$87,A6)</f>
        <v>0</v>
      </c>
      <c r="C6" s="5">
        <f>SUMIFS('Nhật ký học'!$G$5:$G$87,'Nhật ký học'!$D$5:$D$87,A6)+SUMIFS('Nhật ký học'!$H$5:$H$87,'Nhật ký học'!$D$5:$D$87,A6)</f>
        <v>0</v>
      </c>
      <c r="D6" s="5">
        <f t="shared" si="0"/>
        <v>0</v>
      </c>
      <c r="E6" s="5">
        <f t="shared" si="1"/>
        <v>0</v>
      </c>
      <c r="F6" s="5">
        <f>COUNTIFS('Nhật ký học'!$D$5:$D$87,A6,'Nhật ký học'!$I$5:$I$87,"&gt;0")</f>
        <v>0</v>
      </c>
      <c r="G6" s="23">
        <f t="shared" si="2"/>
        <v>0</v>
      </c>
      <c r="H6" s="5">
        <f>COUNTIFS('Kế hoạch chi tiết'!$D$5:$D$87,A6,'Kế hoạch chi tiết'!$I$5:$I$87,"Xong")</f>
        <v>0</v>
      </c>
    </row>
    <row r="7" spans="1:8" ht="14.5" x14ac:dyDescent="0.35">
      <c r="A7" s="5">
        <v>3</v>
      </c>
      <c r="B7" s="5">
        <f>SUMIFS('Nhật ký học'!$E$5:$E$87,'Nhật ký học'!$D$5:$D$87,A7)+SUMIFS('Nhật ký học'!$F$5:$F$87,'Nhật ký học'!$D$5:$D$87,A7)</f>
        <v>0</v>
      </c>
      <c r="C7" s="5">
        <f>SUMIFS('Nhật ký học'!$G$5:$G$87,'Nhật ký học'!$D$5:$D$87,A7)+SUMIFS('Nhật ký học'!$H$5:$H$87,'Nhật ký học'!$D$5:$D$87,A7)</f>
        <v>0</v>
      </c>
      <c r="D7" s="5">
        <f t="shared" si="0"/>
        <v>0</v>
      </c>
      <c r="E7" s="5">
        <f t="shared" si="1"/>
        <v>0</v>
      </c>
      <c r="F7" s="5">
        <f>COUNTIFS('Nhật ký học'!$D$5:$D$87,A7,'Nhật ký học'!$I$5:$I$87,"&gt;0")</f>
        <v>0</v>
      </c>
      <c r="G7" s="23">
        <f t="shared" si="2"/>
        <v>0</v>
      </c>
      <c r="H7" s="5">
        <f>COUNTIFS('Kế hoạch chi tiết'!$D$5:$D$87,A7,'Kế hoạch chi tiết'!$I$5:$I$87,"Xong")</f>
        <v>0</v>
      </c>
    </row>
    <row r="8" spans="1:8" ht="14.5" x14ac:dyDescent="0.35">
      <c r="A8" s="5">
        <v>4</v>
      </c>
      <c r="B8" s="5">
        <f>SUMIFS('Nhật ký học'!$E$5:$E$87,'Nhật ký học'!$D$5:$D$87,A8)+SUMIFS('Nhật ký học'!$F$5:$F$87,'Nhật ký học'!$D$5:$D$87,A8)</f>
        <v>0</v>
      </c>
      <c r="C8" s="5">
        <f>SUMIFS('Nhật ký học'!$G$5:$G$87,'Nhật ký học'!$D$5:$D$87,A8)+SUMIFS('Nhật ký học'!$H$5:$H$87,'Nhật ký học'!$D$5:$D$87,A8)</f>
        <v>0</v>
      </c>
      <c r="D8" s="5">
        <f t="shared" si="0"/>
        <v>0</v>
      </c>
      <c r="E8" s="5">
        <f t="shared" si="1"/>
        <v>0</v>
      </c>
      <c r="F8" s="5">
        <f>COUNTIFS('Nhật ký học'!$D$5:$D$87,A8,'Nhật ký học'!$I$5:$I$87,"&gt;0")</f>
        <v>0</v>
      </c>
      <c r="G8" s="23">
        <f t="shared" si="2"/>
        <v>0</v>
      </c>
      <c r="H8" s="5">
        <f>COUNTIFS('Kế hoạch chi tiết'!$D$5:$D$87,A8,'Kế hoạch chi tiết'!$I$5:$I$87,"Xong")</f>
        <v>0</v>
      </c>
    </row>
    <row r="9" spans="1:8" ht="14.5" x14ac:dyDescent="0.35">
      <c r="A9" s="5">
        <v>5</v>
      </c>
      <c r="B9" s="5">
        <f>SUMIFS('Nhật ký học'!$E$5:$E$87,'Nhật ký học'!$D$5:$D$87,A9)+SUMIFS('Nhật ký học'!$F$5:$F$87,'Nhật ký học'!$D$5:$D$87,A9)</f>
        <v>0</v>
      </c>
      <c r="C9" s="5">
        <f>SUMIFS('Nhật ký học'!$G$5:$G$87,'Nhật ký học'!$D$5:$D$87,A9)+SUMIFS('Nhật ký học'!$H$5:$H$87,'Nhật ký học'!$D$5:$D$87,A9)</f>
        <v>0</v>
      </c>
      <c r="D9" s="5">
        <f t="shared" si="0"/>
        <v>0</v>
      </c>
      <c r="E9" s="5">
        <f t="shared" si="1"/>
        <v>0</v>
      </c>
      <c r="F9" s="5">
        <f>COUNTIFS('Nhật ký học'!$D$5:$D$87,A9,'Nhật ký học'!$I$5:$I$87,"&gt;0")</f>
        <v>0</v>
      </c>
      <c r="G9" s="23">
        <f t="shared" si="2"/>
        <v>0</v>
      </c>
      <c r="H9" s="5">
        <f>COUNTIFS('Kế hoạch chi tiết'!$D$5:$D$87,A9,'Kế hoạch chi tiết'!$I$5:$I$87,"Xong")</f>
        <v>0</v>
      </c>
    </row>
    <row r="10" spans="1:8" ht="14.5" x14ac:dyDescent="0.35">
      <c r="A10" s="5">
        <v>6</v>
      </c>
      <c r="B10" s="5">
        <f>SUMIFS('Nhật ký học'!$E$5:$E$87,'Nhật ký học'!$D$5:$D$87,A10)+SUMIFS('Nhật ký học'!$F$5:$F$87,'Nhật ký học'!$D$5:$D$87,A10)</f>
        <v>0</v>
      </c>
      <c r="C10" s="5">
        <f>SUMIFS('Nhật ký học'!$G$5:$G$87,'Nhật ký học'!$D$5:$D$87,A10)+SUMIFS('Nhật ký học'!$H$5:$H$87,'Nhật ký học'!$D$5:$D$87,A10)</f>
        <v>0</v>
      </c>
      <c r="D10" s="5">
        <f t="shared" si="0"/>
        <v>0</v>
      </c>
      <c r="E10" s="5">
        <f t="shared" si="1"/>
        <v>0</v>
      </c>
      <c r="F10" s="5">
        <f>COUNTIFS('Nhật ký học'!$D$5:$D$87,A10,'Nhật ký học'!$I$5:$I$87,"&gt;0")</f>
        <v>0</v>
      </c>
      <c r="G10" s="23">
        <f t="shared" si="2"/>
        <v>0</v>
      </c>
      <c r="H10" s="5">
        <f>COUNTIFS('Kế hoạch chi tiết'!$D$5:$D$87,A10,'Kế hoạch chi tiết'!$I$5:$I$87,"Xong")</f>
        <v>0</v>
      </c>
    </row>
    <row r="11" spans="1:8" ht="14.5" x14ac:dyDescent="0.35">
      <c r="A11" s="5">
        <v>7</v>
      </c>
      <c r="B11" s="5">
        <f>SUMIFS('Nhật ký học'!$E$5:$E$87,'Nhật ký học'!$D$5:$D$87,A11)+SUMIFS('Nhật ký học'!$F$5:$F$87,'Nhật ký học'!$D$5:$D$87,A11)</f>
        <v>0</v>
      </c>
      <c r="C11" s="5">
        <f>SUMIFS('Nhật ký học'!$G$5:$G$87,'Nhật ký học'!$D$5:$D$87,A11)+SUMIFS('Nhật ký học'!$H$5:$H$87,'Nhật ký học'!$D$5:$D$87,A11)</f>
        <v>0</v>
      </c>
      <c r="D11" s="5">
        <f t="shared" si="0"/>
        <v>0</v>
      </c>
      <c r="E11" s="5">
        <f t="shared" si="1"/>
        <v>0</v>
      </c>
      <c r="F11" s="5">
        <f>COUNTIFS('Nhật ký học'!$D$5:$D$87,A11,'Nhật ký học'!$I$5:$I$87,"&gt;0")</f>
        <v>0</v>
      </c>
      <c r="G11" s="23">
        <f t="shared" si="2"/>
        <v>0</v>
      </c>
      <c r="H11" s="5">
        <f>COUNTIFS('Kế hoạch chi tiết'!$D$5:$D$87,A11,'Kế hoạch chi tiết'!$I$5:$I$87,"Xong")</f>
        <v>0</v>
      </c>
    </row>
    <row r="12" spans="1:8" ht="14.5" x14ac:dyDescent="0.35">
      <c r="A12" s="5">
        <v>8</v>
      </c>
      <c r="B12" s="5">
        <f>SUMIFS('Nhật ký học'!$E$5:$E$87,'Nhật ký học'!$D$5:$D$87,A12)+SUMIFS('Nhật ký học'!$F$5:$F$87,'Nhật ký học'!$D$5:$D$87,A12)</f>
        <v>0</v>
      </c>
      <c r="C12" s="5">
        <f>SUMIFS('Nhật ký học'!$G$5:$G$87,'Nhật ký học'!$D$5:$D$87,A12)+SUMIFS('Nhật ký học'!$H$5:$H$87,'Nhật ký học'!$D$5:$D$87,A12)</f>
        <v>0</v>
      </c>
      <c r="D12" s="5">
        <f t="shared" si="0"/>
        <v>0</v>
      </c>
      <c r="E12" s="5">
        <f t="shared" si="1"/>
        <v>0</v>
      </c>
      <c r="F12" s="5">
        <f>COUNTIFS('Nhật ký học'!$D$5:$D$87,A12,'Nhật ký học'!$I$5:$I$87,"&gt;0")</f>
        <v>0</v>
      </c>
      <c r="G12" s="23">
        <f t="shared" si="2"/>
        <v>0</v>
      </c>
      <c r="H12" s="5">
        <f>COUNTIFS('Kế hoạch chi tiết'!$D$5:$D$87,A12,'Kế hoạch chi tiết'!$I$5:$I$87,"Xong")</f>
        <v>0</v>
      </c>
    </row>
    <row r="13" spans="1:8" ht="14.5" x14ac:dyDescent="0.35">
      <c r="A13" s="5">
        <v>9</v>
      </c>
      <c r="B13" s="5">
        <f>SUMIFS('Nhật ký học'!$E$5:$E$87,'Nhật ký học'!$D$5:$D$87,A13)+SUMIFS('Nhật ký học'!$F$5:$F$87,'Nhật ký học'!$D$5:$D$87,A13)</f>
        <v>0</v>
      </c>
      <c r="C13" s="5">
        <f>SUMIFS('Nhật ký học'!$G$5:$G$87,'Nhật ký học'!$D$5:$D$87,A13)+SUMIFS('Nhật ký học'!$H$5:$H$87,'Nhật ký học'!$D$5:$D$87,A13)</f>
        <v>0</v>
      </c>
      <c r="D13" s="5">
        <f t="shared" si="0"/>
        <v>0</v>
      </c>
      <c r="E13" s="5">
        <f t="shared" si="1"/>
        <v>0</v>
      </c>
      <c r="F13" s="5">
        <f>COUNTIFS('Nhật ký học'!$D$5:$D$87,A13,'Nhật ký học'!$I$5:$I$87,"&gt;0")</f>
        <v>0</v>
      </c>
      <c r="G13" s="23">
        <f t="shared" si="2"/>
        <v>0</v>
      </c>
      <c r="H13" s="5">
        <f>COUNTIFS('Kế hoạch chi tiết'!$D$5:$D$87,A13,'Kế hoạch chi tiết'!$I$5:$I$87,"Xong")</f>
        <v>0</v>
      </c>
    </row>
    <row r="14" spans="1:8" ht="14.5" x14ac:dyDescent="0.35">
      <c r="A14" s="5">
        <v>10</v>
      </c>
      <c r="B14" s="5">
        <f>SUMIFS('Nhật ký học'!$E$5:$E$87,'Nhật ký học'!$D$5:$D$87,A14)+SUMIFS('Nhật ký học'!$F$5:$F$87,'Nhật ký học'!$D$5:$D$87,A14)</f>
        <v>0</v>
      </c>
      <c r="C14" s="5">
        <f>SUMIFS('Nhật ký học'!$G$5:$G$87,'Nhật ký học'!$D$5:$D$87,A14)+SUMIFS('Nhật ký học'!$H$5:$H$87,'Nhật ký học'!$D$5:$D$87,A14)</f>
        <v>0</v>
      </c>
      <c r="D14" s="5">
        <f t="shared" si="0"/>
        <v>0</v>
      </c>
      <c r="E14" s="5">
        <f t="shared" si="1"/>
        <v>0</v>
      </c>
      <c r="F14" s="5">
        <f>COUNTIFS('Nhật ký học'!$D$5:$D$87,A14,'Nhật ký học'!$I$5:$I$87,"&gt;0")</f>
        <v>0</v>
      </c>
      <c r="G14" s="23">
        <f t="shared" si="2"/>
        <v>0</v>
      </c>
      <c r="H14" s="5">
        <f>COUNTIFS('Kế hoạch chi tiết'!$D$5:$D$87,A14,'Kế hoạch chi tiết'!$I$5:$I$87,"Xong")</f>
        <v>0</v>
      </c>
    </row>
    <row r="15" spans="1:8" ht="14.5" x14ac:dyDescent="0.35">
      <c r="A15" s="5">
        <v>11</v>
      </c>
      <c r="B15" s="5">
        <f>SUMIFS('Nhật ký học'!$E$5:$E$87,'Nhật ký học'!$D$5:$D$87,A15)+SUMIFS('Nhật ký học'!$F$5:$F$87,'Nhật ký học'!$D$5:$D$87,A15)</f>
        <v>0</v>
      </c>
      <c r="C15" s="5">
        <f>SUMIFS('Nhật ký học'!$G$5:$G$87,'Nhật ký học'!$D$5:$D$87,A15)+SUMIFS('Nhật ký học'!$H$5:$H$87,'Nhật ký học'!$D$5:$D$87,A15)</f>
        <v>0</v>
      </c>
      <c r="D15" s="5">
        <f t="shared" si="0"/>
        <v>0</v>
      </c>
      <c r="E15" s="5">
        <f t="shared" si="1"/>
        <v>0</v>
      </c>
      <c r="F15" s="5">
        <f>COUNTIFS('Nhật ký học'!$D$5:$D$87,A15,'Nhật ký học'!$I$5:$I$87,"&gt;0")</f>
        <v>0</v>
      </c>
      <c r="G15" s="23">
        <f t="shared" si="2"/>
        <v>0</v>
      </c>
      <c r="H15" s="5">
        <f>COUNTIFS('Kế hoạch chi tiết'!$D$5:$D$87,A15,'Kế hoạch chi tiết'!$I$5:$I$87,"Xong")</f>
        <v>0</v>
      </c>
    </row>
    <row r="16" spans="1:8" ht="14.5" x14ac:dyDescent="0.35">
      <c r="A16" s="5">
        <v>12</v>
      </c>
      <c r="B16" s="5">
        <f>SUMIFS('Nhật ký học'!$E$5:$E$87,'Nhật ký học'!$D$5:$D$87,A16)+SUMIFS('Nhật ký học'!$F$5:$F$87,'Nhật ký học'!$D$5:$D$87,A16)</f>
        <v>0</v>
      </c>
      <c r="C16" s="5">
        <f>SUMIFS('Nhật ký học'!$G$5:$G$87,'Nhật ký học'!$D$5:$D$87,A16)+SUMIFS('Nhật ký học'!$H$5:$H$87,'Nhật ký học'!$D$5:$D$87,A16)</f>
        <v>0</v>
      </c>
      <c r="D16" s="5">
        <f t="shared" si="0"/>
        <v>0</v>
      </c>
      <c r="E16" s="5">
        <f t="shared" si="1"/>
        <v>0</v>
      </c>
      <c r="F16" s="5">
        <f>COUNTIFS('Nhật ký học'!$D$5:$D$87,A16,'Nhật ký học'!$I$5:$I$87,"&gt;0")</f>
        <v>0</v>
      </c>
      <c r="G16" s="23">
        <f t="shared" si="2"/>
        <v>0</v>
      </c>
      <c r="H16" s="5">
        <f>COUNTIFS('Kế hoạch chi tiết'!$D$5:$D$87,A16,'Kế hoạch chi tiết'!$I$5:$I$87,"Xong")</f>
        <v>0</v>
      </c>
    </row>
    <row r="18" spans="1:8" ht="14.5" x14ac:dyDescent="0.35">
      <c r="A18" s="24" t="s">
        <v>274</v>
      </c>
      <c r="B18" s="24">
        <f t="shared" ref="B18:D18" si="3">SUM(B5:B16)</f>
        <v>0</v>
      </c>
      <c r="C18" s="24">
        <f t="shared" si="3"/>
        <v>0</v>
      </c>
      <c r="D18" s="24">
        <f t="shared" si="3"/>
        <v>0</v>
      </c>
      <c r="E18" s="24">
        <f>ROUND(D18/60,1)</f>
        <v>0</v>
      </c>
      <c r="F18" s="24">
        <f>SUM(F5:F16)</f>
        <v>0</v>
      </c>
      <c r="G18" s="25"/>
      <c r="H18" s="24">
        <f>SUM(H5:H16)</f>
        <v>0</v>
      </c>
    </row>
    <row r="21" spans="1:8" ht="15.75" customHeight="1" x14ac:dyDescent="0.35"/>
    <row r="22" spans="1:8" ht="15.75" customHeight="1" x14ac:dyDescent="0.35"/>
    <row r="23" spans="1:8" ht="15.75" customHeight="1" x14ac:dyDescent="0.35"/>
    <row r="24" spans="1:8" ht="15.75" customHeight="1" x14ac:dyDescent="0.35"/>
    <row r="25" spans="1:8" ht="15.75" customHeight="1" x14ac:dyDescent="0.35"/>
    <row r="26" spans="1:8" ht="15.75" customHeight="1" x14ac:dyDescent="0.35"/>
    <row r="27" spans="1:8" ht="15.75" customHeight="1" x14ac:dyDescent="0.35"/>
    <row r="28" spans="1:8" ht="15.75" customHeight="1" x14ac:dyDescent="0.35"/>
    <row r="29" spans="1:8" ht="15.75" customHeight="1" x14ac:dyDescent="0.35"/>
    <row r="30" spans="1:8" ht="15.75" customHeight="1" x14ac:dyDescent="0.35"/>
    <row r="31" spans="1:8" ht="15.75" customHeight="1" x14ac:dyDescent="0.35"/>
    <row r="32" spans="1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H1"/>
    <mergeCell ref="A2:H2"/>
  </mergeCells>
  <phoneticPr fontId="10"/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topLeftCell="A6" workbookViewId="0">
      <selection sqref="A1:C1"/>
    </sheetView>
  </sheetViews>
  <sheetFormatPr defaultColWidth="14.453125" defaultRowHeight="15" customHeight="1" x14ac:dyDescent="0.35"/>
  <cols>
    <col min="1" max="1" width="44" customWidth="1"/>
    <col min="2" max="2" width="48" customWidth="1"/>
    <col min="3" max="3" width="66" customWidth="1"/>
    <col min="4" max="26" width="8.7265625" customWidth="1"/>
  </cols>
  <sheetData>
    <row r="1" spans="1:3" ht="20" x14ac:dyDescent="0.4">
      <c r="A1" s="32" t="s">
        <v>275</v>
      </c>
      <c r="B1" s="31"/>
      <c r="C1" s="31"/>
    </row>
    <row r="3" spans="1:3" ht="15.5" x14ac:dyDescent="0.35">
      <c r="A3" s="30" t="s">
        <v>276</v>
      </c>
      <c r="B3" s="31"/>
      <c r="C3" s="31"/>
    </row>
    <row r="4" spans="1:3" ht="31.5" customHeight="1" x14ac:dyDescent="0.35">
      <c r="A4" s="8" t="s">
        <v>277</v>
      </c>
      <c r="B4" s="26" t="s">
        <v>278</v>
      </c>
      <c r="C4" s="8" t="s">
        <v>279</v>
      </c>
    </row>
    <row r="5" spans="1:3" ht="31.5" customHeight="1" x14ac:dyDescent="0.35">
      <c r="A5" s="8" t="s">
        <v>280</v>
      </c>
      <c r="B5" s="27" t="s">
        <v>281</v>
      </c>
      <c r="C5" s="8" t="s">
        <v>282</v>
      </c>
    </row>
    <row r="6" spans="1:3" ht="31.5" customHeight="1" x14ac:dyDescent="0.35">
      <c r="A6" s="8" t="s">
        <v>283</v>
      </c>
      <c r="B6" s="26" t="s">
        <v>284</v>
      </c>
      <c r="C6" s="8" t="s">
        <v>285</v>
      </c>
    </row>
    <row r="8" spans="1:3" ht="15.5" x14ac:dyDescent="0.35">
      <c r="A8" s="30" t="s">
        <v>286</v>
      </c>
      <c r="B8" s="31"/>
      <c r="C8" s="31"/>
    </row>
    <row r="9" spans="1:3" ht="31.5" customHeight="1" x14ac:dyDescent="0.35">
      <c r="A9" s="8" t="s">
        <v>287</v>
      </c>
      <c r="B9" s="26" t="s">
        <v>288</v>
      </c>
      <c r="C9" s="8" t="s">
        <v>289</v>
      </c>
    </row>
    <row r="10" spans="1:3" ht="31.5" customHeight="1" x14ac:dyDescent="0.35">
      <c r="A10" s="8" t="s">
        <v>290</v>
      </c>
      <c r="B10" s="26" t="s">
        <v>291</v>
      </c>
      <c r="C10" s="8" t="s">
        <v>292</v>
      </c>
    </row>
    <row r="11" spans="1:3" ht="31.5" customHeight="1" x14ac:dyDescent="0.35">
      <c r="A11" s="8" t="s">
        <v>293</v>
      </c>
      <c r="B11" s="26" t="s">
        <v>294</v>
      </c>
      <c r="C11" s="8" t="s">
        <v>295</v>
      </c>
    </row>
    <row r="12" spans="1:3" ht="31.5" customHeight="1" x14ac:dyDescent="0.35">
      <c r="A12" s="8" t="s">
        <v>296</v>
      </c>
      <c r="B12" s="26" t="s">
        <v>297</v>
      </c>
      <c r="C12" s="8" t="s">
        <v>298</v>
      </c>
    </row>
    <row r="14" spans="1:3" ht="15.5" x14ac:dyDescent="0.35">
      <c r="A14" s="30" t="s">
        <v>299</v>
      </c>
      <c r="B14" s="31"/>
      <c r="C14" s="31"/>
    </row>
    <row r="15" spans="1:3" ht="31.5" customHeight="1" x14ac:dyDescent="0.35">
      <c r="A15" s="8" t="s">
        <v>300</v>
      </c>
      <c r="B15" s="26" t="s">
        <v>301</v>
      </c>
      <c r="C15" s="8" t="s">
        <v>302</v>
      </c>
    </row>
    <row r="16" spans="1:3" ht="31.5" customHeight="1" x14ac:dyDescent="0.35">
      <c r="A16" s="8" t="s">
        <v>303</v>
      </c>
      <c r="B16" s="26" t="s">
        <v>304</v>
      </c>
      <c r="C16" s="8" t="s">
        <v>305</v>
      </c>
    </row>
    <row r="17" spans="1:3" ht="31.5" customHeight="1" x14ac:dyDescent="0.35">
      <c r="A17" s="8" t="s">
        <v>306</v>
      </c>
      <c r="B17" s="26" t="s">
        <v>307</v>
      </c>
      <c r="C17" s="8" t="s">
        <v>308</v>
      </c>
    </row>
    <row r="18" spans="1:3" ht="31.5" customHeight="1" x14ac:dyDescent="0.35">
      <c r="A18" s="8" t="s">
        <v>309</v>
      </c>
      <c r="B18" s="26" t="s">
        <v>310</v>
      </c>
      <c r="C18" s="8" t="s">
        <v>311</v>
      </c>
    </row>
    <row r="19" spans="1:3" ht="31.5" customHeight="1" x14ac:dyDescent="0.35">
      <c r="A19" s="8" t="s">
        <v>312</v>
      </c>
      <c r="B19" s="26" t="s">
        <v>313</v>
      </c>
      <c r="C19" s="8" t="s">
        <v>314</v>
      </c>
    </row>
    <row r="20" spans="1:3" ht="31.5" customHeight="1" x14ac:dyDescent="0.35">
      <c r="A20" s="8" t="s">
        <v>315</v>
      </c>
      <c r="B20" s="26" t="s">
        <v>316</v>
      </c>
      <c r="C20" s="8" t="s">
        <v>317</v>
      </c>
    </row>
    <row r="21" spans="1:3" ht="15.75" customHeight="1" x14ac:dyDescent="0.35"/>
    <row r="22" spans="1:3" ht="15.75" customHeight="1" x14ac:dyDescent="0.35">
      <c r="A22" s="30" t="s">
        <v>318</v>
      </c>
      <c r="B22" s="31"/>
      <c r="C22" s="31"/>
    </row>
    <row r="23" spans="1:3" ht="31.5" customHeight="1" x14ac:dyDescent="0.35">
      <c r="A23" s="8" t="s">
        <v>319</v>
      </c>
      <c r="B23" s="26" t="s">
        <v>320</v>
      </c>
      <c r="C23" s="8" t="s">
        <v>321</v>
      </c>
    </row>
    <row r="24" spans="1:3" ht="31.5" customHeight="1" x14ac:dyDescent="0.35">
      <c r="A24" s="8" t="s">
        <v>322</v>
      </c>
      <c r="B24" s="26" t="s">
        <v>323</v>
      </c>
      <c r="C24" s="8" t="s">
        <v>324</v>
      </c>
    </row>
    <row r="25" spans="1:3" ht="31.5" customHeight="1" x14ac:dyDescent="0.35">
      <c r="A25" s="8" t="s">
        <v>325</v>
      </c>
      <c r="B25" s="26"/>
      <c r="C25" s="8" t="s">
        <v>326</v>
      </c>
    </row>
    <row r="26" spans="1:3" ht="15.75" customHeight="1" x14ac:dyDescent="0.35"/>
    <row r="27" spans="1:3" ht="15.75" customHeight="1" x14ac:dyDescent="0.35">
      <c r="A27" s="30" t="s">
        <v>327</v>
      </c>
      <c r="B27" s="31"/>
      <c r="C27" s="31"/>
    </row>
    <row r="28" spans="1:3" ht="31.5" customHeight="1" x14ac:dyDescent="0.35">
      <c r="A28" s="8" t="s">
        <v>328</v>
      </c>
      <c r="B28" s="26"/>
      <c r="C28" s="8" t="s">
        <v>329</v>
      </c>
    </row>
    <row r="29" spans="1:3" ht="31.5" customHeight="1" x14ac:dyDescent="0.35">
      <c r="A29" s="8" t="s">
        <v>330</v>
      </c>
      <c r="B29" s="26"/>
      <c r="C29" s="8" t="s">
        <v>331</v>
      </c>
    </row>
    <row r="30" spans="1:3" ht="31.5" customHeight="1" x14ac:dyDescent="0.35">
      <c r="A30" s="8" t="s">
        <v>332</v>
      </c>
      <c r="B30" s="26"/>
      <c r="C30" s="8" t="s">
        <v>333</v>
      </c>
    </row>
    <row r="31" spans="1:3" ht="31.5" customHeight="1" x14ac:dyDescent="0.35">
      <c r="A31" s="8" t="s">
        <v>334</v>
      </c>
      <c r="B31" s="26"/>
      <c r="C31" s="8" t="s">
        <v>335</v>
      </c>
    </row>
    <row r="32" spans="1:3" ht="31.5" customHeight="1" x14ac:dyDescent="0.35">
      <c r="A32" s="8" t="s">
        <v>336</v>
      </c>
      <c r="B32" s="26"/>
      <c r="C32" s="8" t="s">
        <v>337</v>
      </c>
    </row>
    <row r="33" spans="1:3" ht="31.5" customHeight="1" x14ac:dyDescent="0.35">
      <c r="A33" s="8" t="s">
        <v>338</v>
      </c>
      <c r="B33" s="26"/>
      <c r="C33" s="8" t="s">
        <v>339</v>
      </c>
    </row>
    <row r="34" spans="1:3" ht="15.75" customHeight="1" x14ac:dyDescent="0.35"/>
    <row r="35" spans="1:3" ht="15.75" customHeight="1" x14ac:dyDescent="0.35">
      <c r="A35" s="30" t="s">
        <v>340</v>
      </c>
      <c r="B35" s="31"/>
      <c r="C35" s="31"/>
    </row>
    <row r="36" spans="1:3" ht="31.5" customHeight="1" x14ac:dyDescent="0.35">
      <c r="A36" s="8" t="s">
        <v>341</v>
      </c>
      <c r="B36" s="26"/>
      <c r="C36" s="8" t="s">
        <v>342</v>
      </c>
    </row>
    <row r="37" spans="1:3" ht="31.5" customHeight="1" x14ac:dyDescent="0.35">
      <c r="A37" s="8" t="s">
        <v>343</v>
      </c>
      <c r="B37" s="26"/>
      <c r="C37" s="8" t="s">
        <v>344</v>
      </c>
    </row>
    <row r="38" spans="1:3" ht="31.5" customHeight="1" x14ac:dyDescent="0.35">
      <c r="A38" s="8" t="s">
        <v>345</v>
      </c>
      <c r="B38" s="26"/>
      <c r="C38" s="8" t="s">
        <v>346</v>
      </c>
    </row>
    <row r="39" spans="1:3" ht="31.5" customHeight="1" x14ac:dyDescent="0.35">
      <c r="A39" s="8" t="s">
        <v>347</v>
      </c>
      <c r="B39" s="26"/>
      <c r="C39" s="8" t="s">
        <v>348</v>
      </c>
    </row>
    <row r="40" spans="1:3" ht="31.5" customHeight="1" x14ac:dyDescent="0.35">
      <c r="A40" s="8" t="s">
        <v>349</v>
      </c>
      <c r="B40" s="26"/>
      <c r="C40" s="8" t="s">
        <v>350</v>
      </c>
    </row>
    <row r="41" spans="1:3" ht="15.75" customHeight="1" x14ac:dyDescent="0.35"/>
    <row r="42" spans="1:3" ht="15.75" customHeight="1" x14ac:dyDescent="0.35"/>
    <row r="43" spans="1:3" ht="15.75" customHeight="1" x14ac:dyDescent="0.35"/>
    <row r="44" spans="1:3" ht="15.75" customHeight="1" x14ac:dyDescent="0.35"/>
    <row r="45" spans="1:3" ht="15.75" customHeight="1" x14ac:dyDescent="0.35"/>
    <row r="46" spans="1:3" ht="15.75" customHeight="1" x14ac:dyDescent="0.35"/>
    <row r="47" spans="1:3" ht="15.75" customHeight="1" x14ac:dyDescent="0.35"/>
    <row r="48" spans="1:3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27:C27"/>
    <mergeCell ref="A35:C35"/>
    <mergeCell ref="A1:C1"/>
    <mergeCell ref="A3:C3"/>
    <mergeCell ref="A8:C8"/>
    <mergeCell ref="A14:C14"/>
    <mergeCell ref="A22:C22"/>
  </mergeCells>
  <phoneticPr fontId="10"/>
  <hyperlinks>
    <hyperlink ref="B5" r:id="rId1" xr:uid="{00000000-0004-0000-0500-000000000000}"/>
  </hyperlink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Kế hoạch chi tiết</vt:lpstr>
      <vt:lpstr>Nhật ký học</vt:lpstr>
      <vt:lpstr>Bài thi thử</vt:lpstr>
      <vt:lpstr>Tổng kết tuần</vt:lpstr>
      <vt:lpstr>Tài nguyên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23</cp:lastModifiedBy>
  <dcterms:created xsi:type="dcterms:W3CDTF">2026-07-06T15:37:46Z</dcterms:created>
  <dcterms:modified xsi:type="dcterms:W3CDTF">2026-07-07T04:31:42Z</dcterms:modified>
</cp:coreProperties>
</file>